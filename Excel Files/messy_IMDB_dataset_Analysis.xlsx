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143ddb1444c751/Documents/Data_Analytics_Bootcamp/MidTerm/"/>
    </mc:Choice>
  </mc:AlternateContent>
  <xr:revisionPtr revIDLastSave="506" documentId="8_{A934DA1C-BA5C-4F0D-8FB8-39AB0B6DCB96}" xr6:coauthVersionLast="47" xr6:coauthVersionMax="47" xr10:uidLastSave="{3652FFE6-094E-45FB-B876-1D647E43BF10}"/>
  <bookViews>
    <workbookView xWindow="16284" yWindow="-108" windowWidth="23256" windowHeight="12456" xr2:uid="{9811AAAD-8A8C-4D4C-BEC6-3BCB486FC3FD}"/>
  </bookViews>
  <sheets>
    <sheet name="Dashboard" sheetId="7" r:id="rId1"/>
    <sheet name="Genre" sheetId="2" r:id="rId2"/>
    <sheet name="Rating" sheetId="3" r:id="rId3"/>
    <sheet name="Rating-Genre" sheetId="4" r:id="rId4"/>
    <sheet name="Data" sheetId="1" r:id="rId5"/>
    <sheet name="Sheet5" sheetId="5" r:id="rId6"/>
  </sheets>
  <definedNames>
    <definedName name="ExternalData_2" localSheetId="4" hidden="1">Data!$A$1:$O$101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5FA569-F7AE-4DB2-ACF0-7A1394CCBED0}" keepAlive="1" name="Query - messy_IMDB_dataset" description="Connection to the 'messy_IMDB_dataset' query in the workbook." type="5" refreshedVersion="8" background="1" saveData="1">
    <dbPr connection="Provider=Microsoft.Mashup.OleDb.1;Data Source=$Workbook$;Location=messy_IMDB_dataset;Extended Properties=&quot;&quot;" command="SELECT * FROM [messy_IMDB_dataset]"/>
  </connection>
  <connection id="2" xr16:uid="{FAB2BFA5-7888-48E1-B7B4-265751659192}" keepAlive="1" name="Query - messy_IMDB_dataset (2)" description="Connection to the 'messy_IMDB_dataset (2)' query in the workbook." type="5" refreshedVersion="8" background="1" saveData="1">
    <dbPr connection="Provider=Microsoft.Mashup.OleDb.1;Data Source=$Workbook$;Location=&quot;messy_IMDB_dataset (2)&quot;;Extended Properties=&quot;&quot;" command="SELECT * FROM [messy_IMDB_dataset (2)]"/>
  </connection>
</connections>
</file>

<file path=xl/sharedStrings.xml><?xml version="1.0" encoding="utf-8"?>
<sst xmlns="http://schemas.openxmlformats.org/spreadsheetml/2006/main" count="963" uniqueCount="344">
  <si>
    <t>IMBD title ID</t>
  </si>
  <si>
    <t>Original title</t>
  </si>
  <si>
    <t>Release year</t>
  </si>
  <si>
    <t>Genre1</t>
  </si>
  <si>
    <t>Genre2</t>
  </si>
  <si>
    <t>Genre3</t>
  </si>
  <si>
    <t>Duration</t>
  </si>
  <si>
    <t>Country</t>
  </si>
  <si>
    <t>Content Rating</t>
  </si>
  <si>
    <t>Director1</t>
  </si>
  <si>
    <t>Director2</t>
  </si>
  <si>
    <t>Income</t>
  </si>
  <si>
    <t>Votes</t>
  </si>
  <si>
    <t>Score</t>
  </si>
  <si>
    <t>tt0027977</t>
  </si>
  <si>
    <t>Modern Times</t>
  </si>
  <si>
    <t>Comedy</t>
  </si>
  <si>
    <t xml:space="preserve"> Drama</t>
  </si>
  <si>
    <t xml:space="preserve"> Family</t>
  </si>
  <si>
    <t>USA</t>
  </si>
  <si>
    <t>G</t>
  </si>
  <si>
    <t>Charles Chaplin</t>
  </si>
  <si>
    <t>tt0032553</t>
  </si>
  <si>
    <t>The Great Dictator</t>
  </si>
  <si>
    <t xml:space="preserve"> War</t>
  </si>
  <si>
    <t>tt0034583</t>
  </si>
  <si>
    <t>Casablanca</t>
  </si>
  <si>
    <t>Drama</t>
  </si>
  <si>
    <t xml:space="preserve"> Romance</t>
  </si>
  <si>
    <t>PG</t>
  </si>
  <si>
    <t>Michael Curtiz</t>
  </si>
  <si>
    <t>tt0038650</t>
  </si>
  <si>
    <t>It's a Wonderful Life</t>
  </si>
  <si>
    <t xml:space="preserve"> Fantasy</t>
  </si>
  <si>
    <t>Frank Capra</t>
  </si>
  <si>
    <t>tt0033467</t>
  </si>
  <si>
    <t>Citizen Kane</t>
  </si>
  <si>
    <t xml:space="preserve"> Mystery</t>
  </si>
  <si>
    <t>Orson Welles</t>
  </si>
  <si>
    <t>tt0043014</t>
  </si>
  <si>
    <t>Sunset Blvd.</t>
  </si>
  <si>
    <t xml:space="preserve"> Film-Noir</t>
  </si>
  <si>
    <t>Approved</t>
  </si>
  <si>
    <t>Billy Wilder</t>
  </si>
  <si>
    <t>tt0045152</t>
  </si>
  <si>
    <t>Singin' in the Rain</t>
  </si>
  <si>
    <t xml:space="preserve"> Musical</t>
  </si>
  <si>
    <t>Stanley Donen</t>
  </si>
  <si>
    <t>tt0047396</t>
  </si>
  <si>
    <t>Rear Window</t>
  </si>
  <si>
    <t>Mystery</t>
  </si>
  <si>
    <t xml:space="preserve"> Thriller</t>
  </si>
  <si>
    <t>Alfred Hitchcock</t>
  </si>
  <si>
    <t>tt0047478</t>
  </si>
  <si>
    <t>Shichinin no samurai</t>
  </si>
  <si>
    <t>Action</t>
  </si>
  <si>
    <t xml:space="preserve"> Adventure</t>
  </si>
  <si>
    <t>Japan</t>
  </si>
  <si>
    <t>Not Rated</t>
  </si>
  <si>
    <t>Akira Kurosawa</t>
  </si>
  <si>
    <t>tt0050083</t>
  </si>
  <si>
    <t>12 Angry Men</t>
  </si>
  <si>
    <t>Crime</t>
  </si>
  <si>
    <t>Sidney Lumet</t>
  </si>
  <si>
    <t>tt0052357</t>
  </si>
  <si>
    <t>Vertigo</t>
  </si>
  <si>
    <t>tt0053125</t>
  </si>
  <si>
    <t>North by Northwest</t>
  </si>
  <si>
    <t>Adventure</t>
  </si>
  <si>
    <t>tt0054215</t>
  </si>
  <si>
    <t>Psycho</t>
  </si>
  <si>
    <t>Horror</t>
  </si>
  <si>
    <t>R</t>
  </si>
  <si>
    <t>tt0056172</t>
  </si>
  <si>
    <t>Lawrence of Arabia</t>
  </si>
  <si>
    <t xml:space="preserve"> Biography</t>
  </si>
  <si>
    <t>UK</t>
  </si>
  <si>
    <t>David Lean</t>
  </si>
  <si>
    <t>tt0057012</t>
  </si>
  <si>
    <t>Dr. Strangelove or: How I Learned to Stop Worrying and Love the Bomb</t>
  </si>
  <si>
    <t>Stanley Kubrick</t>
  </si>
  <si>
    <t>tt0059578</t>
  </si>
  <si>
    <t>Per qualche dollaro in più</t>
  </si>
  <si>
    <t>Western</t>
  </si>
  <si>
    <t>Italy</t>
  </si>
  <si>
    <t>Sergio Leone</t>
  </si>
  <si>
    <t>tt0060196</t>
  </si>
  <si>
    <t>Il buono, il brutto, il cattivo</t>
  </si>
  <si>
    <t>tt0062622</t>
  </si>
  <si>
    <t>2001: A Space Odyssey</t>
  </si>
  <si>
    <t xml:space="preserve"> Sci-Fi</t>
  </si>
  <si>
    <t>tt0064116</t>
  </si>
  <si>
    <t>C'era una volta il West</t>
  </si>
  <si>
    <t>PG-13</t>
  </si>
  <si>
    <t>tt0066921</t>
  </si>
  <si>
    <t>A Clockwork Orange</t>
  </si>
  <si>
    <t>tt0068646</t>
  </si>
  <si>
    <t>The Godfather</t>
  </si>
  <si>
    <t>Francis Ford Coppola</t>
  </si>
  <si>
    <t>tt0070735</t>
  </si>
  <si>
    <t>The Sting</t>
  </si>
  <si>
    <t xml:space="preserve"> Crime</t>
  </si>
  <si>
    <t>George Roy Hill</t>
  </si>
  <si>
    <t>tt0071562</t>
  </si>
  <si>
    <t>The Godfather: Part II</t>
  </si>
  <si>
    <t>tt0073486</t>
  </si>
  <si>
    <t>One Flew Over the Cuckoo's Nest</t>
  </si>
  <si>
    <t>Milos Forman</t>
  </si>
  <si>
    <t>tt0075314</t>
  </si>
  <si>
    <t>Taxi Driver</t>
  </si>
  <si>
    <t>Martin Scorsese</t>
  </si>
  <si>
    <t>tt0076759</t>
  </si>
  <si>
    <t>Star Wars</t>
  </si>
  <si>
    <t>George Lucas</t>
  </si>
  <si>
    <t>tt0078748</t>
  </si>
  <si>
    <t>Aliens</t>
  </si>
  <si>
    <t>Ridley Scott</t>
  </si>
  <si>
    <t>tt0078788</t>
  </si>
  <si>
    <t>Apocalypse Now</t>
  </si>
  <si>
    <t>tt0080684</t>
  </si>
  <si>
    <t>Star Wars: Episode V - The Empire Strikes Back</t>
  </si>
  <si>
    <t>Irvin Kershner</t>
  </si>
  <si>
    <t>tt0081505</t>
  </si>
  <si>
    <t>The Shining</t>
  </si>
  <si>
    <t xml:space="preserve"> Horror</t>
  </si>
  <si>
    <t>tt0082971</t>
  </si>
  <si>
    <t>Raiders of the Lost Ark</t>
  </si>
  <si>
    <t>Steven Spielberg</t>
  </si>
  <si>
    <t>tt0082096</t>
  </si>
  <si>
    <t>Das Boot</t>
  </si>
  <si>
    <t>Germany</t>
  </si>
  <si>
    <t>Wolfgang Petersen</t>
  </si>
  <si>
    <t>tt0086190</t>
  </si>
  <si>
    <t>Star Wars: Episode VI - Return of the Jedi</t>
  </si>
  <si>
    <t>Richard Marquand</t>
  </si>
  <si>
    <t>tt0086250</t>
  </si>
  <si>
    <t>Scarface</t>
  </si>
  <si>
    <t>Brian De Palma</t>
  </si>
  <si>
    <t>tt0087843</t>
  </si>
  <si>
    <t>Once Upon a Time in America</t>
  </si>
  <si>
    <t>tt0086879</t>
  </si>
  <si>
    <t>Amadeus</t>
  </si>
  <si>
    <t>Biography</t>
  </si>
  <si>
    <t xml:space="preserve"> History</t>
  </si>
  <si>
    <t>tt0088763</t>
  </si>
  <si>
    <t>Back to the Future</t>
  </si>
  <si>
    <t xml:space="preserve"> Comedy</t>
  </si>
  <si>
    <t>Robert Zemeckis</t>
  </si>
  <si>
    <t>tt0090605</t>
  </si>
  <si>
    <t>James Cameron</t>
  </si>
  <si>
    <t>tt0093058</t>
  </si>
  <si>
    <t>Full Metal Jacket</t>
  </si>
  <si>
    <t>tt0095327</t>
  </si>
  <si>
    <t>Hotaru no haka</t>
  </si>
  <si>
    <t>Animation</t>
  </si>
  <si>
    <t>Isao Takahata</t>
  </si>
  <si>
    <t>tt0095765</t>
  </si>
  <si>
    <t>Nuovo Cinema Paradiso</t>
  </si>
  <si>
    <t>Giuseppe Tornatore</t>
  </si>
  <si>
    <t>tt0099685</t>
  </si>
  <si>
    <t>Goodfellas</t>
  </si>
  <si>
    <t>tt0102926</t>
  </si>
  <si>
    <t>The Silence of the Lambs</t>
  </si>
  <si>
    <t>Jonathan Demme</t>
  </si>
  <si>
    <t>tt0103064</t>
  </si>
  <si>
    <t>Terminator 2: Judgment Day</t>
  </si>
  <si>
    <t>tt0105236</t>
  </si>
  <si>
    <t>Reservoir Dogs</t>
  </si>
  <si>
    <t>Quentin Tarantino</t>
  </si>
  <si>
    <t>tt0108052</t>
  </si>
  <si>
    <t>Schindler's List</t>
  </si>
  <si>
    <t>tt0109830</t>
  </si>
  <si>
    <t>Forrest Gump</t>
  </si>
  <si>
    <t>tt0110912</t>
  </si>
  <si>
    <t>Pulp Fiction</t>
  </si>
  <si>
    <t>tt0110357</t>
  </si>
  <si>
    <t>The Lion King</t>
  </si>
  <si>
    <t>Roger Allers</t>
  </si>
  <si>
    <t xml:space="preserve"> Rob Minkoff</t>
  </si>
  <si>
    <t>tt0111161</t>
  </si>
  <si>
    <t>The Shawshank Redemption</t>
  </si>
  <si>
    <t>Frank Darabont</t>
  </si>
  <si>
    <t>tt0110413</t>
  </si>
  <si>
    <t>Léon</t>
  </si>
  <si>
    <t>France</t>
  </si>
  <si>
    <t>Luc Besson</t>
  </si>
  <si>
    <t>tt0114814</t>
  </si>
  <si>
    <t>The Usual Suspects</t>
  </si>
  <si>
    <t>Bryan Singer</t>
  </si>
  <si>
    <t>tt0112573</t>
  </si>
  <si>
    <t>Braveheart</t>
  </si>
  <si>
    <t>Mel Gibson</t>
  </si>
  <si>
    <t>tt0114369</t>
  </si>
  <si>
    <t>Se7en</t>
  </si>
  <si>
    <t>David Fincher</t>
  </si>
  <si>
    <t>tt0114709</t>
  </si>
  <si>
    <t>Toy Story</t>
  </si>
  <si>
    <t>John Lasseter</t>
  </si>
  <si>
    <t>tt0118799</t>
  </si>
  <si>
    <t>La vita B9 bella</t>
  </si>
  <si>
    <t>Roberto Benigni</t>
  </si>
  <si>
    <t>tt0119217</t>
  </si>
  <si>
    <t>Good Will Hunting</t>
  </si>
  <si>
    <t>Gus Van Sant</t>
  </si>
  <si>
    <t>tt0120815</t>
  </si>
  <si>
    <t>Saving Private Ryan</t>
  </si>
  <si>
    <t>tt0133093</t>
  </si>
  <si>
    <t>The Matrix</t>
  </si>
  <si>
    <t>Lana Wachowski</t>
  </si>
  <si>
    <t xml:space="preserve"> Lilly Wachowski</t>
  </si>
  <si>
    <t>tt0120586</t>
  </si>
  <si>
    <t>American History X</t>
  </si>
  <si>
    <t>Tony Kaye</t>
  </si>
  <si>
    <t>tt0137523</t>
  </si>
  <si>
    <t>Fight Club</t>
  </si>
  <si>
    <t>tt0169547</t>
  </si>
  <si>
    <t>American Beauty</t>
  </si>
  <si>
    <t>Sam Mendes</t>
  </si>
  <si>
    <t>tt0119698</t>
  </si>
  <si>
    <t>Mononoke-hime</t>
  </si>
  <si>
    <t>Hayao Miyazaki</t>
  </si>
  <si>
    <t>tt0172495</t>
  </si>
  <si>
    <t>Gladiator</t>
  </si>
  <si>
    <t>tt0120689</t>
  </si>
  <si>
    <t>The Green Mile</t>
  </si>
  <si>
    <t>tt0180093</t>
  </si>
  <si>
    <t>Requiem for a Dream</t>
  </si>
  <si>
    <t>Darren Aronofsky</t>
  </si>
  <si>
    <t>tt0209144</t>
  </si>
  <si>
    <t>Memento</t>
  </si>
  <si>
    <t>Christopher Nolan</t>
  </si>
  <si>
    <t>tt0208092</t>
  </si>
  <si>
    <t>Snatch</t>
  </si>
  <si>
    <t>Guy Ritchie</t>
  </si>
  <si>
    <t>tt0120737</t>
  </si>
  <si>
    <t>The Lord of the Rings: The Fellowship of the Ring</t>
  </si>
  <si>
    <t>New Zealand</t>
  </si>
  <si>
    <t>Peter Jackson</t>
  </si>
  <si>
    <t>tt0211915</t>
  </si>
  <si>
    <t>Le fabuleux destin d'Amélie Poulain</t>
  </si>
  <si>
    <t>Jean-Pierre Jeunet</t>
  </si>
  <si>
    <t>tt0253474</t>
  </si>
  <si>
    <t>The Pianist</t>
  </si>
  <si>
    <t xml:space="preserve"> Music</t>
  </si>
  <si>
    <t>Roman Polanski</t>
  </si>
  <si>
    <t>tt0167261</t>
  </si>
  <si>
    <t>The Lord of the Rings: The Two Towers</t>
  </si>
  <si>
    <t>tt0245429</t>
  </si>
  <si>
    <t>Sen to Chihiro no kamikakushi</t>
  </si>
  <si>
    <t>tt0317248</t>
  </si>
  <si>
    <t>Cidade de Deus</t>
  </si>
  <si>
    <t>Brazil</t>
  </si>
  <si>
    <t>Fernando Meirelles</t>
  </si>
  <si>
    <t xml:space="preserve"> Kátia Lund</t>
  </si>
  <si>
    <t>tt0167260</t>
  </si>
  <si>
    <t>The Lord of the Rings: The Return of the King</t>
  </si>
  <si>
    <t>tt0338013</t>
  </si>
  <si>
    <t>Eternal Sunshine of the Spotless Mind</t>
  </si>
  <si>
    <t>Michel Gondry</t>
  </si>
  <si>
    <t>tt0364569</t>
  </si>
  <si>
    <t>Oldeuboi</t>
  </si>
  <si>
    <t>South Korea</t>
  </si>
  <si>
    <t>Chan-wook Park</t>
  </si>
  <si>
    <t>tt0407887</t>
  </si>
  <si>
    <t>The Departed</t>
  </si>
  <si>
    <t>tt0482571</t>
  </si>
  <si>
    <t>The Prestige</t>
  </si>
  <si>
    <t>tt0405094</t>
  </si>
  <si>
    <t>Das Leben der Anderen</t>
  </si>
  <si>
    <t>Florian Henckel von Donnersmarck</t>
  </si>
  <si>
    <t>tt0468569</t>
  </si>
  <si>
    <t>The Dark Knight</t>
  </si>
  <si>
    <t>tt0910970</t>
  </si>
  <si>
    <t>WALL·E</t>
  </si>
  <si>
    <t>Andrew Stanton</t>
  </si>
  <si>
    <t>tt0361748</t>
  </si>
  <si>
    <t>Inglourious Basterds</t>
  </si>
  <si>
    <t>tt1187043</t>
  </si>
  <si>
    <t>3 Idiots</t>
  </si>
  <si>
    <t>India</t>
  </si>
  <si>
    <t>Rajkumar Hirani</t>
  </si>
  <si>
    <t>tt0435761</t>
  </si>
  <si>
    <t>Toy Story 3</t>
  </si>
  <si>
    <t>Lee Unkrich</t>
  </si>
  <si>
    <t>tt1375666</t>
  </si>
  <si>
    <t>Inception</t>
  </si>
  <si>
    <t>tt1675434</t>
  </si>
  <si>
    <t>Intouchables</t>
  </si>
  <si>
    <t>Olivier Nakache</t>
  </si>
  <si>
    <t xml:space="preserve"> Éric Toledano</t>
  </si>
  <si>
    <t>tt1832382</t>
  </si>
  <si>
    <t>Jodaeiye Nader az Simin</t>
  </si>
  <si>
    <t>Iran</t>
  </si>
  <si>
    <t>Asghar Farhadi</t>
  </si>
  <si>
    <t>tt1345836</t>
  </si>
  <si>
    <t>The Dark Knight Rises</t>
  </si>
  <si>
    <t>tt2106476</t>
  </si>
  <si>
    <t>Jagten</t>
  </si>
  <si>
    <t>Denmark</t>
  </si>
  <si>
    <t>Thomas Vinterberg</t>
  </si>
  <si>
    <t>tt1853728</t>
  </si>
  <si>
    <t>Django Unchained</t>
  </si>
  <si>
    <t xml:space="preserve"> Western</t>
  </si>
  <si>
    <t>tt0816692</t>
  </si>
  <si>
    <t>Interstellar</t>
  </si>
  <si>
    <t>tt2582802</t>
  </si>
  <si>
    <t>Whiplash</t>
  </si>
  <si>
    <t>Damien Chazelle</t>
  </si>
  <si>
    <t>tt2380307</t>
  </si>
  <si>
    <t>Coco</t>
  </si>
  <si>
    <t xml:space="preserve"> Adrian Molina</t>
  </si>
  <si>
    <t>tt4154756</t>
  </si>
  <si>
    <t>Avengers: Infinity War</t>
  </si>
  <si>
    <t>Anthony Russo</t>
  </si>
  <si>
    <t xml:space="preserve"> Joe Russo</t>
  </si>
  <si>
    <t>tt4633694</t>
  </si>
  <si>
    <t>Spider-Man: Into the Spider-Verse</t>
  </si>
  <si>
    <t xml:space="preserve"> Action</t>
  </si>
  <si>
    <t>Bob Persichetti</t>
  </si>
  <si>
    <t xml:space="preserve"> Peter Ramsey</t>
  </si>
  <si>
    <t>tt4154796</t>
  </si>
  <si>
    <t>Avengers: Endgame</t>
  </si>
  <si>
    <t>tt7286456</t>
  </si>
  <si>
    <t>Joker</t>
  </si>
  <si>
    <t>Todd Phillips</t>
  </si>
  <si>
    <t>tt6751668</t>
  </si>
  <si>
    <t>Gisaengchung</t>
  </si>
  <si>
    <t>Bong Joon Ho</t>
  </si>
  <si>
    <t>tt8579674</t>
  </si>
  <si>
    <t>Row Labels</t>
  </si>
  <si>
    <t>Grand Total</t>
  </si>
  <si>
    <t>Total Income</t>
  </si>
  <si>
    <t>Average Income</t>
  </si>
  <si>
    <t>% of Total Income</t>
  </si>
  <si>
    <t>% of Total Movies</t>
  </si>
  <si>
    <t>ID Count</t>
  </si>
  <si>
    <t>Sum of ID Count</t>
  </si>
  <si>
    <t>Total Movies</t>
  </si>
  <si>
    <t>Density</t>
  </si>
  <si>
    <t>Density Rating</t>
  </si>
  <si>
    <t>Column Labels</t>
  </si>
  <si>
    <t>% of Movie Titles</t>
  </si>
  <si>
    <t>Genre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</si>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</sst>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_(* #,##0.0_);_(* \(#,##0.0\);_(* &quot;-&quot;??_);_(@_)"/>
    <numFmt numFmtId="167" formatCode="&quot;$&quot;#,##0"/>
    <numFmt numFmtId="168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4" tint="0.7999816888943144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165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0" fontId="0" fillId="0" borderId="0" xfId="0" applyNumberFormat="1"/>
    <xf numFmtId="10" fontId="0" fillId="0" borderId="0" xfId="0" applyNumberFormat="1" applyAlignment="1">
      <alignment horizontal="right"/>
    </xf>
    <xf numFmtId="43" fontId="0" fillId="0" borderId="0" xfId="1" applyFont="1"/>
    <xf numFmtId="43" fontId="0" fillId="0" borderId="0" xfId="1" applyFont="1" applyAlignment="1">
      <alignment horizontal="right"/>
    </xf>
    <xf numFmtId="0" fontId="0" fillId="0" borderId="0" xfId="0" pivotButton="1" applyAlignment="1">
      <alignment horizontal="right"/>
    </xf>
    <xf numFmtId="43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left" indent="1"/>
    </xf>
    <xf numFmtId="167" fontId="0" fillId="0" borderId="0" xfId="0" applyNumberFormat="1" applyAlignment="1">
      <alignment horizontal="right"/>
    </xf>
    <xf numFmtId="0" fontId="0" fillId="2" borderId="0" xfId="0" applyFill="1"/>
    <xf numFmtId="43" fontId="0" fillId="3" borderId="0" xfId="1" applyFont="1" applyFill="1" applyAlignment="1">
      <alignment horizontal="right"/>
    </xf>
    <xf numFmtId="43" fontId="0" fillId="0" borderId="0" xfId="0" applyNumberFormat="1"/>
    <xf numFmtId="43" fontId="0" fillId="3" borderId="0" xfId="0" applyNumberFormat="1" applyFill="1" applyAlignment="1">
      <alignment horizontal="right"/>
    </xf>
    <xf numFmtId="0" fontId="0" fillId="0" borderId="0" xfId="0" pivotButton="1" applyAlignment="1">
      <alignment horizontal="left"/>
    </xf>
    <xf numFmtId="0" fontId="0" fillId="0" borderId="0" xfId="0" applyAlignment="1">
      <alignment horizontal="center"/>
    </xf>
    <xf numFmtId="0" fontId="2" fillId="0" borderId="0" xfId="0" pivotButton="1" applyFont="1"/>
    <xf numFmtId="0" fontId="0" fillId="0" borderId="0" xfId="0" pivotButton="1" applyAlignment="1">
      <alignment horizontal="center"/>
    </xf>
    <xf numFmtId="43" fontId="0" fillId="4" borderId="0" xfId="1" applyFont="1" applyFill="1"/>
    <xf numFmtId="43" fontId="0" fillId="4" borderId="1" xfId="1" applyFont="1" applyFill="1" applyBorder="1"/>
    <xf numFmtId="0" fontId="0" fillId="4" borderId="0" xfId="0" applyFill="1" applyAlignment="1">
      <alignment horizontal="left"/>
    </xf>
    <xf numFmtId="0" fontId="3" fillId="2" borderId="1" xfId="0" applyFont="1" applyFill="1" applyBorder="1"/>
    <xf numFmtId="0" fontId="0" fillId="4" borderId="2" xfId="0" applyFill="1" applyBorder="1" applyAlignment="1">
      <alignment horizontal="left"/>
    </xf>
    <xf numFmtId="43" fontId="0" fillId="4" borderId="2" xfId="1" applyFont="1" applyFill="1" applyBorder="1"/>
    <xf numFmtId="0" fontId="0" fillId="2" borderId="2" xfId="0" applyFill="1" applyBorder="1"/>
    <xf numFmtId="43" fontId="0" fillId="2" borderId="2" xfId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43" fontId="0" fillId="2" borderId="3" xfId="1" applyFont="1" applyFill="1" applyBorder="1" applyAlignment="1">
      <alignment horizontal="center"/>
    </xf>
    <xf numFmtId="0" fontId="4" fillId="2" borderId="3" xfId="0" applyFont="1" applyFill="1" applyBorder="1"/>
    <xf numFmtId="1" fontId="0" fillId="0" borderId="0" xfId="1" applyNumberFormat="1" applyFont="1"/>
    <xf numFmtId="168" fontId="0" fillId="0" borderId="0" xfId="1" applyNumberFormat="1" applyFont="1"/>
    <xf numFmtId="168" fontId="0" fillId="0" borderId="0" xfId="0" applyNumberFormat="1"/>
    <xf numFmtId="2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96"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right"/>
    </dxf>
    <dxf>
      <alignment horizontal="right"/>
    </dxf>
    <dxf>
      <numFmt numFmtId="1" formatCode="0"/>
    </dxf>
    <dxf>
      <numFmt numFmtId="1" formatCode="0"/>
    </dxf>
    <dxf>
      <alignment horizontal="right"/>
    </dxf>
    <dxf>
      <alignment horizontal="right"/>
    </dxf>
    <dxf>
      <alignment horizontal="left"/>
    </dxf>
    <dxf>
      <alignment horizontal="center"/>
    </dxf>
    <dxf>
      <font>
        <color theme="8"/>
      </font>
    </dxf>
    <dxf>
      <alignment horizontal="center"/>
    </dxf>
    <dxf>
      <alignment horizontal="center"/>
    </dxf>
    <dxf>
      <alignment horizontal="right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right"/>
    </dxf>
    <dxf>
      <numFmt numFmtId="1" formatCode="0"/>
    </dxf>
    <dxf>
      <numFmt numFmtId="1" formatCode="0"/>
    </dxf>
    <dxf>
      <alignment horizontal="right"/>
    </dxf>
    <dxf>
      <alignment horizontal="right"/>
    </dxf>
    <dxf>
      <alignment horizontal="right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right"/>
    </dxf>
    <dxf>
      <alignment horizontal="right"/>
    </dxf>
    <dxf>
      <numFmt numFmtId="168" formatCode="0.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right"/>
    </dxf>
    <dxf>
      <alignment horizontal="right"/>
    </dxf>
    <dxf>
      <numFmt numFmtId="167" formatCode="&quot;$&quot;#,##0"/>
    </dxf>
    <dxf>
      <numFmt numFmtId="167" formatCode="&quot;$&quot;#,##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14" formatCode="0.00%"/>
    </dxf>
    <dxf>
      <alignment horizontal="right"/>
    </dxf>
    <dxf>
      <alignment horizontal="right"/>
    </dxf>
    <dxf>
      <numFmt numFmtId="14" formatCode="0.00%"/>
    </dxf>
    <dxf>
      <numFmt numFmtId="14" formatCode="0.00%"/>
    </dxf>
    <dxf>
      <alignment horizontal="right"/>
    </dxf>
    <dxf>
      <alignment horizontal="right"/>
    </dxf>
    <dxf>
      <numFmt numFmtId="14" formatCode="0.00%"/>
    </dxf>
    <dxf>
      <alignment horizontal="center"/>
    </dxf>
    <dxf>
      <alignment horizontal="center"/>
    </dxf>
    <dxf>
      <alignment horizontal="left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right"/>
    </dxf>
    <dxf>
      <alignment horizontal="right"/>
    </dxf>
    <dxf>
      <numFmt numFmtId="1" formatCode="0"/>
    </dxf>
    <dxf>
      <numFmt numFmtId="1" formatCode="0"/>
    </dxf>
    <dxf>
      <alignment horizontal="right"/>
    </dxf>
    <dxf>
      <numFmt numFmtId="2" formatCode="0.00"/>
    </dxf>
    <dxf>
      <alignment horizontal="right"/>
    </dxf>
    <dxf>
      <alignment horizontal="right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right"/>
    </dxf>
    <dxf>
      <alignment horizontal="right"/>
    </dxf>
    <dxf>
      <numFmt numFmtId="167" formatCode="&quot;$&quot;#,##0"/>
    </dxf>
    <dxf>
      <numFmt numFmtId="167" formatCode="&quot;$&quot;#,##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[IMDB_Analysis.xlsx]Sheet5!PivotTable6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Density by Genre</a:t>
            </a:r>
          </a:p>
        </c:rich>
      </c:tx>
      <c:layout>
        <c:manualLayout>
          <c:xMode val="edge"/>
          <c:yMode val="edge"/>
          <c:x val="0.36627465730539238"/>
          <c:y val="0.108011036316050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Sheet5!$A$4:$A$14</c:f>
              <c:strCache>
                <c:ptCount val="10"/>
                <c:pt idx="0">
                  <c:v>Western</c:v>
                </c:pt>
                <c:pt idx="1">
                  <c:v>Mystery</c:v>
                </c:pt>
                <c:pt idx="2">
                  <c:v>Horror</c:v>
                </c:pt>
                <c:pt idx="3">
                  <c:v>Drama</c:v>
                </c:pt>
                <c:pt idx="4">
                  <c:v>Crime</c:v>
                </c:pt>
                <c:pt idx="5">
                  <c:v>Comedy</c:v>
                </c:pt>
                <c:pt idx="6">
                  <c:v>Biography</c:v>
                </c:pt>
                <c:pt idx="7">
                  <c:v>Animation</c:v>
                </c:pt>
                <c:pt idx="8">
                  <c:v>Adventure</c:v>
                </c:pt>
                <c:pt idx="9">
                  <c:v>Action</c:v>
                </c:pt>
              </c:strCache>
            </c:strRef>
          </c:cat>
          <c:val>
            <c:numRef>
              <c:f>Sheet5!$B$4:$B$14</c:f>
              <c:numCache>
                <c:formatCode>_(* #,##0.00_);_(* \(#,##0.00\);_(* "-"??_);_(@_)</c:formatCode>
                <c:ptCount val="10"/>
                <c:pt idx="0">
                  <c:v>4.498155813045935E-2</c:v>
                </c:pt>
                <c:pt idx="1">
                  <c:v>9.4496358574375286E-2</c:v>
                </c:pt>
                <c:pt idx="2">
                  <c:v>0.23421434174674338</c:v>
                </c:pt>
                <c:pt idx="3">
                  <c:v>0.45241571976302841</c:v>
                </c:pt>
                <c:pt idx="4">
                  <c:v>0.69229887736765006</c:v>
                </c:pt>
                <c:pt idx="5">
                  <c:v>0.3256776065406457</c:v>
                </c:pt>
                <c:pt idx="6">
                  <c:v>0.65809142322235792</c:v>
                </c:pt>
                <c:pt idx="7">
                  <c:v>1.7344830896047134</c:v>
                </c:pt>
                <c:pt idx="8">
                  <c:v>0.73224593383410941</c:v>
                </c:pt>
                <c:pt idx="9">
                  <c:v>2.5676088729690583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3-4B9A-AF62-0D2EAFBC7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20469808"/>
        <c:axId val="1420470288"/>
      </c:barChart>
      <c:catAx>
        <c:axId val="1420469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470288"/>
        <c:crossesAt val="0"/>
        <c:auto val="1"/>
        <c:lblAlgn val="ctr"/>
        <c:lblOffset val="100"/>
        <c:noMultiLvlLbl val="0"/>
      </c:catAx>
      <c:valAx>
        <c:axId val="142047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46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[IMDB_Analysis.xlsx]Sheet5!PivotTable7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Density by Content Rating</a:t>
            </a:r>
          </a:p>
        </c:rich>
      </c:tx>
      <c:layout>
        <c:manualLayout>
          <c:xMode val="edge"/>
          <c:yMode val="edge"/>
          <c:x val="0.3379793536374201"/>
          <c:y val="0.123994565045482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Sheet5!$A$22:$A$28</c:f>
              <c:strCache>
                <c:ptCount val="6"/>
                <c:pt idx="0">
                  <c:v>Not Rated</c:v>
                </c:pt>
                <c:pt idx="1">
                  <c:v>Approved</c:v>
                </c:pt>
                <c:pt idx="2">
                  <c:v>R</c:v>
                </c:pt>
                <c:pt idx="3">
                  <c:v>PG</c:v>
                </c:pt>
                <c:pt idx="4">
                  <c:v>G</c:v>
                </c:pt>
                <c:pt idx="5">
                  <c:v>PG-13</c:v>
                </c:pt>
              </c:strCache>
            </c:strRef>
          </c:cat>
          <c:val>
            <c:numRef>
              <c:f>Sheet5!$B$22:$B$28</c:f>
              <c:numCache>
                <c:formatCode>_(* #,##0_);_(* \(#,##0\);_(* "-"??_);_(@_)</c:formatCode>
                <c:ptCount val="6"/>
                <c:pt idx="0">
                  <c:v>9.364085475539152E-4</c:v>
                </c:pt>
                <c:pt idx="1">
                  <c:v>2.8556099654483018E-2</c:v>
                </c:pt>
                <c:pt idx="2">
                  <c:v>0.61195066129293896</c:v>
                </c:pt>
                <c:pt idx="3">
                  <c:v>0.86512782284806622</c:v>
                </c:pt>
                <c:pt idx="4">
                  <c:v>1.267586762141129</c:v>
                </c:pt>
                <c:pt idx="5">
                  <c:v>2.6643918963326225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3-4E03-BD62-882D1D60EF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73303791"/>
        <c:axId val="1673299471"/>
      </c:barChart>
      <c:catAx>
        <c:axId val="1673303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299471"/>
        <c:crosses val="autoZero"/>
        <c:auto val="1"/>
        <c:lblAlgn val="ctr"/>
        <c:lblOffset val="100"/>
        <c:noMultiLvlLbl val="0"/>
      </c:catAx>
      <c:valAx>
        <c:axId val="16732994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30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[IMDB_Analysis.xlsx]Sheet5!PivotTable8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Density by Content</a:t>
            </a:r>
            <a:r>
              <a:rPr lang="en-US" baseline="0"/>
              <a:t> Rating and Genre (G and PG-13)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Sheet5!$B$36:$B$37</c:f>
              <c:strCache>
                <c:ptCount val="1"/>
                <c:pt idx="0">
                  <c:v>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Sheet5!$A$38:$A$40</c:f>
              <c:strCache>
                <c:ptCount val="2"/>
                <c:pt idx="0">
                  <c:v>G</c:v>
                </c:pt>
                <c:pt idx="1">
                  <c:v>PG-13</c:v>
                </c:pt>
              </c:strCache>
            </c:strRef>
          </c:cat>
          <c:val>
            <c:numRef>
              <c:f>Sheet5!$B$38:$B$40</c:f>
              <c:numCache>
                <c:formatCode>_(* #,##0.00_);_(* \(#,##0.00\);_(* "-"??_);_(@_)</c:formatCode>
                <c:ptCount val="2"/>
                <c:pt idx="1">
                  <c:v>4.5064558389785967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4-462B-8546-8D4E433F2086}"/>
            </c:ext>
          </c:extLst>
        </c:ser>
        <c:ser>
          <c:idx val="1"/>
          <c:order val="1"/>
          <c:tx>
            <c:strRef>
              <c:f>Sheet5!$C$36:$C$37</c:f>
              <c:strCache>
                <c:ptCount val="1"/>
                <c:pt idx="0">
                  <c:v>Adventure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Sheet5!$A$38:$A$40</c:f>
              <c:strCache>
                <c:ptCount val="2"/>
                <c:pt idx="0">
                  <c:v>G</c:v>
                </c:pt>
                <c:pt idx="1">
                  <c:v>PG-13</c:v>
                </c:pt>
              </c:strCache>
            </c:strRef>
          </c:cat>
          <c:val>
            <c:numRef>
              <c:f>Sheet5!$C$38:$C$40</c:f>
              <c:numCache>
                <c:formatCode>_(* #,##0.00_);_(* \(#,##0.00\);_(* "-"??_);_(@_)</c:formatCode>
                <c:ptCount val="2"/>
                <c:pt idx="0">
                  <c:v>0.23063747173132051</c:v>
                </c:pt>
                <c:pt idx="1">
                  <c:v>2.3292633918109673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E4-462B-8546-8D4E433F2086}"/>
            </c:ext>
          </c:extLst>
        </c:ser>
        <c:ser>
          <c:idx val="2"/>
          <c:order val="2"/>
          <c:tx>
            <c:strRef>
              <c:f>Sheet5!$D$36:$D$37</c:f>
              <c:strCache>
                <c:ptCount val="1"/>
                <c:pt idx="0">
                  <c:v>Animation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Sheet5!$A$38:$A$40</c:f>
              <c:strCache>
                <c:ptCount val="2"/>
                <c:pt idx="0">
                  <c:v>G</c:v>
                </c:pt>
                <c:pt idx="1">
                  <c:v>PG-13</c:v>
                </c:pt>
              </c:strCache>
            </c:strRef>
          </c:cat>
          <c:val>
            <c:numRef>
              <c:f>Sheet5!$D$38:$D$40</c:f>
              <c:numCache>
                <c:formatCode>_(* #,##0.00_);_(* \(#,##0.00\);_(* "-"??_);_(@_)</c:formatCode>
                <c:ptCount val="2"/>
                <c:pt idx="0">
                  <c:v>2.4747630125169642</c:v>
                </c:pt>
                <c:pt idx="1">
                  <c:v>0.5676066869792894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E4-462B-8546-8D4E433F2086}"/>
            </c:ext>
          </c:extLst>
        </c:ser>
        <c:ser>
          <c:idx val="3"/>
          <c:order val="3"/>
          <c:tx>
            <c:strRef>
              <c:f>Sheet5!$E$36:$E$37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Sheet5!$A$38:$A$40</c:f>
              <c:strCache>
                <c:ptCount val="2"/>
                <c:pt idx="0">
                  <c:v>G</c:v>
                </c:pt>
                <c:pt idx="1">
                  <c:v>PG-13</c:v>
                </c:pt>
              </c:strCache>
            </c:strRef>
          </c:cat>
          <c:val>
            <c:numRef>
              <c:f>Sheet5!$E$38:$E$40</c:f>
              <c:numCache>
                <c:formatCode>_(* #,##0.00_);_(* \(#,##0.00\);_(* "-"??_);_(@_)</c:formatCode>
                <c:ptCount val="2"/>
                <c:pt idx="0">
                  <c:v>3.6681917766184817E-3</c:v>
                </c:pt>
                <c:pt idx="1">
                  <c:v>0.48535079361260924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E4-462B-8546-8D4E433F2086}"/>
            </c:ext>
          </c:extLst>
        </c:ser>
        <c:ser>
          <c:idx val="4"/>
          <c:order val="4"/>
          <c:tx>
            <c:strRef>
              <c:f>Sheet5!$F$36:$F$37</c:f>
              <c:strCache>
                <c:ptCount val="1"/>
                <c:pt idx="0">
                  <c:v>Drama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Sheet5!$A$38:$A$40</c:f>
              <c:strCache>
                <c:ptCount val="2"/>
                <c:pt idx="0">
                  <c:v>G</c:v>
                </c:pt>
                <c:pt idx="1">
                  <c:v>PG-13</c:v>
                </c:pt>
              </c:strCache>
            </c:strRef>
          </c:cat>
          <c:val>
            <c:numRef>
              <c:f>Sheet5!$F$38:$F$40</c:f>
              <c:numCache>
                <c:formatCode>_(* #,##0.00_);_(* \(#,##0.00\);_(* "-"??_);_(@_)</c:formatCode>
                <c:ptCount val="2"/>
                <c:pt idx="1">
                  <c:v>0.90355816438016401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E4-462B-8546-8D4E433F2086}"/>
            </c:ext>
          </c:extLst>
        </c:ser>
        <c:ser>
          <c:idx val="5"/>
          <c:order val="5"/>
          <c:tx>
            <c:strRef>
              <c:f>Sheet5!$G$36:$G$37</c:f>
              <c:strCache>
                <c:ptCount val="1"/>
                <c:pt idx="0">
                  <c:v>Western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Sheet5!$A$38:$A$40</c:f>
              <c:strCache>
                <c:ptCount val="2"/>
                <c:pt idx="0">
                  <c:v>G</c:v>
                </c:pt>
                <c:pt idx="1">
                  <c:v>PG-13</c:v>
                </c:pt>
              </c:strCache>
            </c:strRef>
          </c:cat>
          <c:val>
            <c:numRef>
              <c:f>Sheet5!$G$38:$G$40</c:f>
              <c:numCache>
                <c:formatCode>_(* #,##0.00_);_(* \(#,##0.00\);_(* "-"??_);_(@_)</c:formatCode>
                <c:ptCount val="2"/>
                <c:pt idx="1">
                  <c:v>3.7747033721869679E-4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E4-462B-8546-8D4E433F2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0777024"/>
        <c:axId val="1610777984"/>
      </c:barChart>
      <c:catAx>
        <c:axId val="161077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777984"/>
        <c:crosses val="autoZero"/>
        <c:auto val="1"/>
        <c:lblAlgn val="ctr"/>
        <c:lblOffset val="100"/>
        <c:noMultiLvlLbl val="0"/>
      </c:catAx>
      <c:valAx>
        <c:axId val="161077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77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[IMDB_Analysis.xlsx]Sheet5!PivotTable6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Density</a:t>
            </a:r>
            <a:r>
              <a:rPr lang="en-US" baseline="0"/>
              <a:t> by Genre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Sheet5!$A$4:$A$14</c:f>
              <c:strCache>
                <c:ptCount val="10"/>
                <c:pt idx="0">
                  <c:v>Western</c:v>
                </c:pt>
                <c:pt idx="1">
                  <c:v>Mystery</c:v>
                </c:pt>
                <c:pt idx="2">
                  <c:v>Horror</c:v>
                </c:pt>
                <c:pt idx="3">
                  <c:v>Drama</c:v>
                </c:pt>
                <c:pt idx="4">
                  <c:v>Crime</c:v>
                </c:pt>
                <c:pt idx="5">
                  <c:v>Comedy</c:v>
                </c:pt>
                <c:pt idx="6">
                  <c:v>Biography</c:v>
                </c:pt>
                <c:pt idx="7">
                  <c:v>Animation</c:v>
                </c:pt>
                <c:pt idx="8">
                  <c:v>Adventure</c:v>
                </c:pt>
                <c:pt idx="9">
                  <c:v>Action</c:v>
                </c:pt>
              </c:strCache>
            </c:strRef>
          </c:cat>
          <c:val>
            <c:numRef>
              <c:f>Sheet5!$B$4:$B$14</c:f>
              <c:numCache>
                <c:formatCode>_(* #,##0.00_);_(* \(#,##0.00\);_(* "-"??_);_(@_)</c:formatCode>
                <c:ptCount val="10"/>
                <c:pt idx="0">
                  <c:v>4.498155813045935E-2</c:v>
                </c:pt>
                <c:pt idx="1">
                  <c:v>9.4496358574375286E-2</c:v>
                </c:pt>
                <c:pt idx="2">
                  <c:v>0.23421434174674338</c:v>
                </c:pt>
                <c:pt idx="3">
                  <c:v>0.45241571976302841</c:v>
                </c:pt>
                <c:pt idx="4">
                  <c:v>0.69229887736765006</c:v>
                </c:pt>
                <c:pt idx="5">
                  <c:v>0.3256776065406457</c:v>
                </c:pt>
                <c:pt idx="6">
                  <c:v>0.65809142322235792</c:v>
                </c:pt>
                <c:pt idx="7">
                  <c:v>1.7344830896047134</c:v>
                </c:pt>
                <c:pt idx="8">
                  <c:v>0.73224593383410941</c:v>
                </c:pt>
                <c:pt idx="9">
                  <c:v>2.5676088729690583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AC-4D5F-A779-E07E6ED93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469808"/>
        <c:axId val="1420470288"/>
      </c:lineChart>
      <c:catAx>
        <c:axId val="142046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470288"/>
        <c:crosses val="autoZero"/>
        <c:auto val="1"/>
        <c:lblAlgn val="ctr"/>
        <c:lblOffset val="100"/>
        <c:noMultiLvlLbl val="0"/>
      </c:catAx>
      <c:valAx>
        <c:axId val="142047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46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[IMDB_Analysis.xlsx]Sheet5!PivotTable7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Density</a:t>
            </a:r>
            <a:r>
              <a:rPr lang="en-US" baseline="0"/>
              <a:t> by Content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Sheet5!$A$22:$A$28</c:f>
              <c:strCache>
                <c:ptCount val="6"/>
                <c:pt idx="0">
                  <c:v>Not Rated</c:v>
                </c:pt>
                <c:pt idx="1">
                  <c:v>Approved</c:v>
                </c:pt>
                <c:pt idx="2">
                  <c:v>R</c:v>
                </c:pt>
                <c:pt idx="3">
                  <c:v>PG</c:v>
                </c:pt>
                <c:pt idx="4">
                  <c:v>G</c:v>
                </c:pt>
                <c:pt idx="5">
                  <c:v>PG-13</c:v>
                </c:pt>
              </c:strCache>
            </c:strRef>
          </c:cat>
          <c:val>
            <c:numRef>
              <c:f>Sheet5!$B$22:$B$28</c:f>
              <c:numCache>
                <c:formatCode>_(* #,##0_);_(* \(#,##0\);_(* "-"??_);_(@_)</c:formatCode>
                <c:ptCount val="6"/>
                <c:pt idx="0">
                  <c:v>9.364085475539152E-4</c:v>
                </c:pt>
                <c:pt idx="1">
                  <c:v>2.8556099654483018E-2</c:v>
                </c:pt>
                <c:pt idx="2">
                  <c:v>0.61195066129293896</c:v>
                </c:pt>
                <c:pt idx="3">
                  <c:v>0.86512782284806622</c:v>
                </c:pt>
                <c:pt idx="4">
                  <c:v>1.267586762141129</c:v>
                </c:pt>
                <c:pt idx="5">
                  <c:v>2.6643918963326225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4C-4BF0-B4EE-ECF7BFEB1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3303791"/>
        <c:axId val="1673299471"/>
      </c:lineChart>
      <c:catAx>
        <c:axId val="167330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299471"/>
        <c:crosses val="autoZero"/>
        <c:auto val="1"/>
        <c:lblAlgn val="ctr"/>
        <c:lblOffset val="100"/>
        <c:noMultiLvlLbl val="0"/>
      </c:catAx>
      <c:valAx>
        <c:axId val="167329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30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[IMDB_Analysis.xlsx]Sheet5!PivotTable8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Density by Content</a:t>
            </a:r>
            <a:r>
              <a:rPr lang="en-US" baseline="0"/>
              <a:t> Rating and Genre (G and PG-13)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Sheet5!$B$36:$B$37</c:f>
              <c:strCache>
                <c:ptCount val="1"/>
                <c:pt idx="0">
                  <c:v>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Sheet5!$A$38:$A$40</c:f>
              <c:strCache>
                <c:ptCount val="2"/>
                <c:pt idx="0">
                  <c:v>G</c:v>
                </c:pt>
                <c:pt idx="1">
                  <c:v>PG-13</c:v>
                </c:pt>
              </c:strCache>
            </c:strRef>
          </c:cat>
          <c:val>
            <c:numRef>
              <c:f>Sheet5!$B$38:$B$40</c:f>
              <c:numCache>
                <c:formatCode>_(* #,##0.00_);_(* \(#,##0.00\);_(* "-"??_);_(@_)</c:formatCode>
                <c:ptCount val="2"/>
                <c:pt idx="1">
                  <c:v>4.5064558389785967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E-4522-B2CF-F2AB9304AC82}"/>
            </c:ext>
          </c:extLst>
        </c:ser>
        <c:ser>
          <c:idx val="1"/>
          <c:order val="1"/>
          <c:tx>
            <c:strRef>
              <c:f>Sheet5!$C$36:$C$37</c:f>
              <c:strCache>
                <c:ptCount val="1"/>
                <c:pt idx="0">
                  <c:v>Adventure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Sheet5!$A$38:$A$40</c:f>
              <c:strCache>
                <c:ptCount val="2"/>
                <c:pt idx="0">
                  <c:v>G</c:v>
                </c:pt>
                <c:pt idx="1">
                  <c:v>PG-13</c:v>
                </c:pt>
              </c:strCache>
            </c:strRef>
          </c:cat>
          <c:val>
            <c:numRef>
              <c:f>Sheet5!$C$38:$C$40</c:f>
              <c:numCache>
                <c:formatCode>_(* #,##0.00_);_(* \(#,##0.00\);_(* "-"??_);_(@_)</c:formatCode>
                <c:ptCount val="2"/>
                <c:pt idx="0">
                  <c:v>0.23063747173132051</c:v>
                </c:pt>
                <c:pt idx="1">
                  <c:v>2.3292633918109673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EE-4522-B2CF-F2AB9304AC82}"/>
            </c:ext>
          </c:extLst>
        </c:ser>
        <c:ser>
          <c:idx val="2"/>
          <c:order val="2"/>
          <c:tx>
            <c:strRef>
              <c:f>Sheet5!$D$36:$D$37</c:f>
              <c:strCache>
                <c:ptCount val="1"/>
                <c:pt idx="0">
                  <c:v>Animation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Sheet5!$A$38:$A$40</c:f>
              <c:strCache>
                <c:ptCount val="2"/>
                <c:pt idx="0">
                  <c:v>G</c:v>
                </c:pt>
                <c:pt idx="1">
                  <c:v>PG-13</c:v>
                </c:pt>
              </c:strCache>
            </c:strRef>
          </c:cat>
          <c:val>
            <c:numRef>
              <c:f>Sheet5!$D$38:$D$40</c:f>
              <c:numCache>
                <c:formatCode>_(* #,##0.00_);_(* \(#,##0.00\);_(* "-"??_);_(@_)</c:formatCode>
                <c:ptCount val="2"/>
                <c:pt idx="0">
                  <c:v>2.4747630125169642</c:v>
                </c:pt>
                <c:pt idx="1">
                  <c:v>0.5676066869792894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EE-4522-B2CF-F2AB9304AC82}"/>
            </c:ext>
          </c:extLst>
        </c:ser>
        <c:ser>
          <c:idx val="3"/>
          <c:order val="3"/>
          <c:tx>
            <c:strRef>
              <c:f>Sheet5!$E$36:$E$37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Sheet5!$A$38:$A$40</c:f>
              <c:strCache>
                <c:ptCount val="2"/>
                <c:pt idx="0">
                  <c:v>G</c:v>
                </c:pt>
                <c:pt idx="1">
                  <c:v>PG-13</c:v>
                </c:pt>
              </c:strCache>
            </c:strRef>
          </c:cat>
          <c:val>
            <c:numRef>
              <c:f>Sheet5!$E$38:$E$40</c:f>
              <c:numCache>
                <c:formatCode>_(* #,##0.00_);_(* \(#,##0.00\);_(* "-"??_);_(@_)</c:formatCode>
                <c:ptCount val="2"/>
                <c:pt idx="0">
                  <c:v>3.6681917766184817E-3</c:v>
                </c:pt>
                <c:pt idx="1">
                  <c:v>0.48535079361260924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EE-4522-B2CF-F2AB9304AC82}"/>
            </c:ext>
          </c:extLst>
        </c:ser>
        <c:ser>
          <c:idx val="4"/>
          <c:order val="4"/>
          <c:tx>
            <c:strRef>
              <c:f>Sheet5!$F$36:$F$37</c:f>
              <c:strCache>
                <c:ptCount val="1"/>
                <c:pt idx="0">
                  <c:v>Drama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Sheet5!$A$38:$A$40</c:f>
              <c:strCache>
                <c:ptCount val="2"/>
                <c:pt idx="0">
                  <c:v>G</c:v>
                </c:pt>
                <c:pt idx="1">
                  <c:v>PG-13</c:v>
                </c:pt>
              </c:strCache>
            </c:strRef>
          </c:cat>
          <c:val>
            <c:numRef>
              <c:f>Sheet5!$F$38:$F$40</c:f>
              <c:numCache>
                <c:formatCode>_(* #,##0.00_);_(* \(#,##0.00\);_(* "-"??_);_(@_)</c:formatCode>
                <c:ptCount val="2"/>
                <c:pt idx="1">
                  <c:v>0.90355816438016401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EE-4522-B2CF-F2AB9304AC82}"/>
            </c:ext>
          </c:extLst>
        </c:ser>
        <c:ser>
          <c:idx val="5"/>
          <c:order val="5"/>
          <c:tx>
            <c:strRef>
              <c:f>Sheet5!$G$36:$G$37</c:f>
              <c:strCache>
                <c:ptCount val="1"/>
                <c:pt idx="0">
                  <c:v>Western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Sheet5!$A$38:$A$40</c:f>
              <c:strCache>
                <c:ptCount val="2"/>
                <c:pt idx="0">
                  <c:v>G</c:v>
                </c:pt>
                <c:pt idx="1">
                  <c:v>PG-13</c:v>
                </c:pt>
              </c:strCache>
            </c:strRef>
          </c:cat>
          <c:val>
            <c:numRef>
              <c:f>Sheet5!$G$38:$G$40</c:f>
              <c:numCache>
                <c:formatCode>_(* #,##0.00_);_(* \(#,##0.00\);_(* "-"??_);_(@_)</c:formatCode>
                <c:ptCount val="2"/>
                <c:pt idx="1">
                  <c:v>3.7747033721869679E-4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EE-4522-B2CF-F2AB9304A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0777024"/>
        <c:axId val="1610777984"/>
      </c:barChart>
      <c:catAx>
        <c:axId val="161077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777984"/>
        <c:crosses val="autoZero"/>
        <c:auto val="1"/>
        <c:lblAlgn val="ctr"/>
        <c:lblOffset val="100"/>
        <c:noMultiLvlLbl val="0"/>
      </c:catAx>
      <c:valAx>
        <c:axId val="161077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77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196326</xdr:colOff>
      <xdr:row>7</xdr:row>
      <xdr:rowOff>97041</xdr:rowOff>
    </xdr:from>
    <xdr:to>
      <xdr:col>15</xdr:col>
      <xdr:colOff>168089</xdr:colOff>
      <xdr:row>22</xdr:row>
      <xdr:rowOff>11206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572A55-53ED-4D27-B735-10F136A96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657561</xdr:colOff>
      <xdr:row>28</xdr:row>
      <xdr:rowOff>34626</xdr:rowOff>
    </xdr:from>
    <xdr:to>
      <xdr:col>13</xdr:col>
      <xdr:colOff>896471</xdr:colOff>
      <xdr:row>43</xdr:row>
      <xdr:rowOff>22412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EC2CF7-AF44-42AD-B8F8-75642EBE4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982195</xdr:colOff>
      <xdr:row>47</xdr:row>
      <xdr:rowOff>44822</xdr:rowOff>
    </xdr:from>
    <xdr:to>
      <xdr:col>14</xdr:col>
      <xdr:colOff>957319</xdr:colOff>
      <xdr:row>62</xdr:row>
      <xdr:rowOff>3921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C69FD5-E873-497E-A387-83F3C9AA9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300991</xdr:colOff>
      <xdr:row>0</xdr:row>
      <xdr:rowOff>80011</xdr:rowOff>
    </xdr:from>
    <xdr:to>
      <xdr:col>7</xdr:col>
      <xdr:colOff>548641</xdr:colOff>
      <xdr:row>13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9849AE-A992-11AE-9553-5194B9C50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659130</xdr:colOff>
      <xdr:row>15</xdr:row>
      <xdr:rowOff>186690</xdr:rowOff>
    </xdr:from>
    <xdr:to>
      <xdr:col>8</xdr:col>
      <xdr:colOff>379095</xdr:colOff>
      <xdr:row>30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2491AC-99BD-A0FB-9B05-1599FE73D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379095</xdr:colOff>
      <xdr:row>28</xdr:row>
      <xdr:rowOff>179071</xdr:rowOff>
    </xdr:from>
    <xdr:to>
      <xdr:col>15</xdr:col>
      <xdr:colOff>480059</xdr:colOff>
      <xdr:row>46</xdr:row>
      <xdr:rowOff>144781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22F782-620F-7F54-B4E3-A7CB67316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502920</xdr:colOff>
          <xdr:row>77</xdr:row>
          <xdr:rowOff>60960</xdr:rowOff>
        </xdr:from>
        <xdr:to>
          <xdr:col>2</xdr:col>
          <xdr:colOff>478073</xdr:colOff>
          <xdr:row>78</xdr:row>
          <xdr:rowOff>60960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1FC0D0DC-4D2E-CC58-C668-139A212DEB0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77" spid="_x0000_s211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380877" y="14746025"/>
              <a:ext cx="877957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443120</xdr:colOff>
          <xdr:row>76</xdr:row>
          <xdr:rowOff>38514</xdr:rowOff>
        </xdr:from>
        <xdr:to>
          <xdr:col>13</xdr:col>
          <xdr:colOff>265044</xdr:colOff>
          <xdr:row>85</xdr:row>
          <xdr:rowOff>57564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98E30D8C-1B71-82E0-E10F-7535953CEA7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65:$L$73" spid="_x0000_s211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443120" y="14533079"/>
              <a:ext cx="8477250" cy="17335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ffrey Symons" refreshedDate="46189.334698379629" createdVersion="8" refreshedVersion="8" minRefreshableVersion="3" recordCount="100" xr:uid="{8EF2F72C-76B9-46F1-B7EA-3D5C5DB38069}">
  <cacheSource type="worksheet">
    <worksheetSource name="messy_IMDB_dataset"/>
  </cacheSource>
  <cacheFields count="19">
    <cacheField name="IMBD title ID" numFmtId="0">
      <sharedItems/>
    </cacheField>
    <cacheField name="ID Count" numFmtId="0">
      <sharedItems containsSemiMixedTypes="0" containsString="0" containsNumber="1" containsInteger="1" minValue="1" maxValue="1"/>
    </cacheField>
    <cacheField name="Original title" numFmtId="0">
      <sharedItems containsMixedTypes="1" containsNumber="1" containsInteger="1" minValue="1917" maxValue="1917"/>
    </cacheField>
    <cacheField name="Release year" numFmtId="164">
      <sharedItems containsSemiMixedTypes="0" containsNonDate="0" containsDate="1" containsString="0" minDate="1937-03-12T00:00:00" maxDate="2020-01-24T00:00:00" count="99">
        <d v="1937-03-12T00:00:00"/>
        <d v="1945-06-25T00:00:00"/>
        <d v="1946-11-21T00:00:00"/>
        <d v="1948-03-11T00:00:00"/>
        <d v="1948-11-25T00:00:00"/>
        <d v="1951-03-06T00:00:00"/>
        <d v="1953-02-05T00:00:00"/>
        <d v="1955-04-14T00:00:00"/>
        <d v="1955-08-19T00:00:00"/>
        <d v="1957-09-04T00:00:00"/>
        <d v="1958-11-18T00:00:00"/>
        <d v="1959-10-28T00:00:00"/>
        <d v="1960-10-28T00:00:00"/>
        <d v="1963-10-29T00:00:00"/>
        <d v="1964-04-03T00:00:00"/>
        <d v="1965-12-20T00:00:00"/>
        <d v="1966-12-23T00:00:00"/>
        <d v="1968-12-12T00:00:00"/>
        <d v="1968-12-21T00:00:00"/>
        <d v="1972-09-07T00:00:00"/>
        <d v="1972-09-21T00:00:00"/>
        <d v="1974-03-21T00:00:00"/>
        <d v="1975-09-25T00:00:00"/>
        <d v="1976-11-18T00:00:00"/>
        <d v="1976-12-24T00:00:00"/>
        <d v="1977-10-20T00:00:00"/>
        <d v="1979-10-25T00:00:00"/>
        <d v="1979-12-18T00:00:00"/>
        <d v="1980-09-19T00:00:00"/>
        <d v="1980-12-22T00:00:00"/>
        <d v="1981-06-12T00:00:00"/>
        <d v="1982-03-18T00:00:00"/>
        <d v="1983-10-21T00:00:00"/>
        <d v="1984-02-01T00:00:00"/>
        <d v="1984-09-28T00:00:00"/>
        <d v="1985-02-15T00:00:00"/>
        <d v="1985-10-18T00:00:00"/>
        <d v="1986-09-24T00:00:00"/>
        <d v="1987-10-09T00:00:00"/>
        <d v="1988-04-16T00:00:00"/>
        <d v="1988-11-17T00:00:00"/>
        <d v="1990-09-20T00:00:00"/>
        <d v="1991-03-05T00:00:00"/>
        <d v="1991-12-19T00:00:00"/>
        <d v="1992-10-09T00:00:00"/>
        <d v="1994-03-11T00:00:00"/>
        <d v="1994-10-06T00:00:00"/>
        <d v="1994-10-28T00:00:00"/>
        <d v="1994-11-25T00:00:00"/>
        <d v="1995-02-10T00:00:00"/>
        <d v="1995-04-07T00:00:00"/>
        <d v="1995-11-30T00:00:00"/>
        <d v="1995-12-01T00:00:00"/>
        <d v="1995-12-15T00:00:00"/>
        <d v="1996-03-22T00:00:00"/>
        <d v="1997-12-20T00:00:00"/>
        <d v="1998-03-06T00:00:00"/>
        <d v="1998-10-30T00:00:00"/>
        <d v="1999-05-07T00:00:00"/>
        <d v="1999-08-27T00:00:00"/>
        <d v="1999-10-29T00:00:00"/>
        <d v="2000-01-21T00:00:00"/>
        <d v="2000-05-19T00:00:00"/>
        <d v="2000-10-03T00:00:00"/>
        <d v="2000-12-15T00:00:00"/>
        <d v="2001-01-19T00:00:00"/>
        <d v="2001-03-16T00:00:00"/>
        <d v="2002-01-18T00:00:00"/>
        <d v="2002-01-25T00:00:00"/>
        <d v="2002-10-25T00:00:00"/>
        <d v="2003-01-16T00:00:00"/>
        <d v="2003-04-18T00:00:00"/>
        <d v="2003-05-09T00:00:00"/>
        <d v="2004-02-22T00:00:00"/>
        <d v="2004-10-22T00:00:00"/>
        <d v="2005-05-06T00:00:00"/>
        <d v="2006-10-27T00:00:00"/>
        <d v="2006-12-22T00:00:00"/>
        <d v="2007-04-06T00:00:00"/>
        <d v="2008-07-23T00:00:00"/>
        <d v="2008-10-17T00:00:00"/>
        <d v="2009-10-02T00:00:00"/>
        <d v="2009-12-25T00:00:00"/>
        <d v="2010-07-07T00:00:00"/>
        <d v="2010-09-24T00:00:00"/>
        <d v="2011-02-24T00:00:00"/>
        <d v="2011-10-21T00:00:00"/>
        <d v="2012-08-29T00:00:00"/>
        <d v="2012-11-22T00:00:00"/>
        <d v="2013-01-17T00:00:00"/>
        <d v="2014-11-06T00:00:00"/>
        <d v="2015-02-12T00:00:00"/>
        <d v="2017-12-28T00:00:00"/>
        <d v="2018-04-25T00:00:00"/>
        <d v="2018-12-25T00:00:00"/>
        <d v="2019-04-24T00:00:00"/>
        <d v="2019-10-03T00:00:00"/>
        <d v="2019-11-07T00:00:00"/>
        <d v="2020-01-23T00:00:00"/>
      </sharedItems>
      <fieldGroup par="18"/>
    </cacheField>
    <cacheField name="Genre1" numFmtId="0">
      <sharedItems count="10">
        <s v="Comedy"/>
        <s v="Drama"/>
        <s v="Mystery"/>
        <s v="Action"/>
        <s v="Crime"/>
        <s v="Adventure"/>
        <s v="Horror"/>
        <s v="Western"/>
        <s v="Biography"/>
        <s v="Animation"/>
      </sharedItems>
    </cacheField>
    <cacheField name="Genre2" numFmtId="0">
      <sharedItems containsBlank="1"/>
    </cacheField>
    <cacheField name="Genre3" numFmtId="0">
      <sharedItems containsBlank="1"/>
    </cacheField>
    <cacheField name="Duration" numFmtId="165">
      <sharedItems containsSemiMixedTypes="0" containsString="0" containsNumber="1" containsInteger="1" minValue="81" maxValue="229"/>
    </cacheField>
    <cacheField name="Country" numFmtId="0">
      <sharedItems/>
    </cacheField>
    <cacheField name="Content Rating" numFmtId="0">
      <sharedItems count="6">
        <s v="G"/>
        <s v="PG"/>
        <s v="Approved"/>
        <s v="Not Rated"/>
        <s v="R"/>
        <s v="PG-13"/>
      </sharedItems>
    </cacheField>
    <cacheField name="Director1" numFmtId="0">
      <sharedItems/>
    </cacheField>
    <cacheField name="Director2" numFmtId="0">
      <sharedItems containsBlank="1"/>
    </cacheField>
    <cacheField name="Income" numFmtId="165">
      <sharedItems containsSemiMixedTypes="0" containsString="0" containsNumber="1" containsInteger="1" minValue="576" maxValue="2797800564"/>
    </cacheField>
    <cacheField name="Votes" numFmtId="165">
      <sharedItems containsSemiMixedTypes="0" containsString="0" containsNumber="1" minValue="195789" maxValue="2278845" count="100">
        <n v="211250"/>
        <n v="197381"/>
        <n v="509953"/>
        <n v="388310"/>
        <n v="389322"/>
        <n v="195789"/>
        <n v="213152"/>
        <n v="432390"/>
        <n v="307958"/>
        <n v="668473"/>
        <n v="352786"/>
        <n v="291628"/>
        <n v="586765"/>
        <n v="261504.00000000003"/>
        <n v="441115"/>
        <n v="226039"/>
        <n v="672499"/>
        <n v="587866"/>
        <n v="295220"/>
        <n v="740301"/>
        <n v="1572674"/>
        <n v="236285"/>
        <n v="1098714"/>
        <n v="891071"/>
        <n v="703264"/>
        <n v="1204107"/>
        <n v="768874"/>
        <n v="591251"/>
        <n v="1132073"/>
        <n v="869480"/>
        <n v="865510"/>
        <n v="226427"/>
        <n v="928036"/>
        <n v="721343"/>
        <n v="302317"/>
        <n v="361028"/>
        <n v="1027330"/>
        <n v="639500"/>
        <n v="658175"/>
        <n v="225438"/>
        <n v="223050"/>
        <n v="991505"/>
        <n v="1234134"/>
        <n v="974970"/>
        <n v="896551"/>
        <n v="1183248"/>
        <n v="1755490"/>
        <n v="1780147"/>
        <n v="917248"/>
        <n v="2278845"/>
        <n v="1007598"/>
        <n v="968947"/>
        <n v="941683"/>
        <n v="1402015"/>
        <n v="864461"/>
        <n v="605648"/>
        <n v="837379"/>
        <n v="1203825"/>
        <n v="1632315"/>
        <n v="1014218"/>
        <n v="1807440"/>
        <n v="1049009"/>
        <n v="331045"/>
        <n v="1308193"/>
        <n v="1112336"/>
        <n v="748291"/>
        <n v="1098879"/>
        <n v="766589"/>
        <n v="1619920"/>
        <n v="690480"/>
        <n v="707942"/>
        <n v="1449778"/>
        <n v="626693"/>
        <n v="685856"/>
        <n v="1604280"/>
        <n v="889875"/>
        <n v="501082"/>
        <n v="1159703"/>
        <n v="1155723"/>
        <n v="349642"/>
        <n v="2241615"/>
        <n v="974734"/>
        <n v="1229958"/>
        <n v="332217"/>
        <n v="739717"/>
        <n v="2002816"/>
        <n v="736691"/>
        <n v="214165"/>
        <n v="1480582"/>
        <n v="269616"/>
        <n v="1317856"/>
        <n v="1449256"/>
        <n v="690732"/>
        <n v="352455"/>
        <n v="796486"/>
        <n v="335892"/>
        <n v="754786"/>
        <n v="855097"/>
        <n v="470931"/>
        <n v="362897"/>
      </sharedItems>
    </cacheField>
    <cacheField name="Score" numFmtId="166">
      <sharedItems containsSemiMixedTypes="0" containsString="0" containsNumber="1" minValue="7.4" maxValue="9.3000000000000007" count="19">
        <n v="8.3000000000000007"/>
        <n v="8"/>
        <n v="8.6"/>
        <n v="7.6"/>
        <n v="7.4"/>
        <n v="8.1"/>
        <n v="8.9"/>
        <n v="7.5"/>
        <n v="8.8000000000000007"/>
        <n v="7.8"/>
        <n v="9.1999999999999993"/>
        <n v="9"/>
        <n v="8.6999999999999993"/>
        <n v="7.7"/>
        <n v="8.1999999999999993"/>
        <n v="7.9"/>
        <n v="8.5"/>
        <n v="8.4"/>
        <n v="9.3000000000000007"/>
      </sharedItems>
    </cacheField>
    <cacheField name="$Density" numFmtId="0" formula="(SUM(Income)/29912549111)/(SUM('ID Count')/100)" databaseField="0"/>
    <cacheField name="Months (Release year)" numFmtId="0" databaseField="0">
      <fieldGroup base="3">
        <rangePr groupBy="months" startDate="1937-03-12T00:00:00" endDate="2020-01-24T00:00:00"/>
        <groupItems count="14">
          <s v="&lt;3/12/193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4/2020"/>
        </groupItems>
      </fieldGroup>
    </cacheField>
    <cacheField name="Quarters (Release year)" numFmtId="0" databaseField="0">
      <fieldGroup base="3">
        <rangePr groupBy="quarters" startDate="1937-03-12T00:00:00" endDate="2020-01-24T00:00:00"/>
        <groupItems count="6">
          <s v="&lt;3/12/1937"/>
          <s v="Qtr1"/>
          <s v="Qtr2"/>
          <s v="Qtr3"/>
          <s v="Qtr4"/>
          <s v="&gt;1/24/2020"/>
        </groupItems>
      </fieldGroup>
    </cacheField>
    <cacheField name="Years (Release year)" numFmtId="0" databaseField="0">
      <fieldGroup base="3">
        <rangePr groupBy="years" startDate="1937-03-12T00:00:00" endDate="2020-01-24T00:00:00"/>
        <groupItems count="86">
          <s v="&lt;3/12/1937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4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t0027977"/>
    <n v="1"/>
    <s v="Modern Times"/>
    <x v="0"/>
    <x v="0"/>
    <s v=" Drama"/>
    <s v=" Family"/>
    <n v="87"/>
    <s v="USA"/>
    <x v="0"/>
    <s v="Charles Chaplin"/>
    <m/>
    <n v="457688"/>
    <x v="0"/>
    <x v="0"/>
  </r>
  <r>
    <s v="tt0032553"/>
    <n v="1"/>
    <s v="The Great Dictator"/>
    <x v="1"/>
    <x v="0"/>
    <s v=" Drama"/>
    <s v=" War"/>
    <n v="125"/>
    <s v="USA"/>
    <x v="0"/>
    <s v="Charles Chaplin"/>
    <m/>
    <n v="969879"/>
    <x v="1"/>
    <x v="1"/>
  </r>
  <r>
    <s v="tt0034583"/>
    <n v="1"/>
    <s v="Casablanca"/>
    <x v="2"/>
    <x v="1"/>
    <s v=" Romance"/>
    <s v=" War"/>
    <n v="102"/>
    <s v="USA"/>
    <x v="1"/>
    <s v="Michael Curtiz"/>
    <m/>
    <n v="4374761"/>
    <x v="2"/>
    <x v="0"/>
  </r>
  <r>
    <s v="tt0038650"/>
    <n v="1"/>
    <s v="It's a Wonderful Life"/>
    <x v="3"/>
    <x v="1"/>
    <s v=" Family"/>
    <s v=" Fantasy"/>
    <n v="130"/>
    <s v="USA"/>
    <x v="1"/>
    <s v="Frank Capra"/>
    <m/>
    <n v="6130720"/>
    <x v="3"/>
    <x v="2"/>
  </r>
  <r>
    <s v="tt0033467"/>
    <n v="1"/>
    <s v="Citizen Kane"/>
    <x v="4"/>
    <x v="1"/>
    <s v=" Mystery"/>
    <m/>
    <n v="119"/>
    <s v="USA"/>
    <x v="1"/>
    <s v="Orson Welles"/>
    <m/>
    <n v="1594107"/>
    <x v="4"/>
    <x v="3"/>
  </r>
  <r>
    <s v="tt0043014"/>
    <n v="1"/>
    <s v="Sunset Blvd."/>
    <x v="5"/>
    <x v="1"/>
    <s v=" Film-Noir"/>
    <m/>
    <n v="110"/>
    <s v="USA"/>
    <x v="2"/>
    <s v="Billy Wilder"/>
    <m/>
    <n v="299645"/>
    <x v="5"/>
    <x v="1"/>
  </r>
  <r>
    <s v="tt0045152"/>
    <n v="1"/>
    <s v="Singin' in the Rain"/>
    <x v="6"/>
    <x v="0"/>
    <s v=" Musical"/>
    <s v=" Romance"/>
    <n v="103"/>
    <s v="USA"/>
    <x v="0"/>
    <s v="Stanley Donen"/>
    <m/>
    <n v="1864182"/>
    <x v="6"/>
    <x v="4"/>
  </r>
  <r>
    <s v="tt0047396"/>
    <n v="1"/>
    <s v="Rear Window"/>
    <x v="7"/>
    <x v="2"/>
    <s v=" Thriller"/>
    <m/>
    <n v="112"/>
    <s v="USA"/>
    <x v="1"/>
    <s v="Alfred Hitchcock"/>
    <m/>
    <n v="37032034"/>
    <x v="7"/>
    <x v="5"/>
  </r>
  <r>
    <s v="tt0047478"/>
    <n v="1"/>
    <s v="Shichinin no samurai"/>
    <x v="8"/>
    <x v="3"/>
    <s v=" Adventure"/>
    <s v=" Drama"/>
    <n v="207"/>
    <s v="Japan"/>
    <x v="3"/>
    <s v="Akira Kurosawa"/>
    <m/>
    <n v="322773"/>
    <x v="8"/>
    <x v="2"/>
  </r>
  <r>
    <s v="tt0050083"/>
    <n v="1"/>
    <s v="12 Angry Men"/>
    <x v="9"/>
    <x v="4"/>
    <s v=" Drama"/>
    <m/>
    <n v="96"/>
    <s v="USA"/>
    <x v="3"/>
    <s v="Sidney Lumet"/>
    <m/>
    <n v="576"/>
    <x v="9"/>
    <x v="6"/>
  </r>
  <r>
    <s v="tt0052357"/>
    <n v="1"/>
    <s v="Vertigo"/>
    <x v="10"/>
    <x v="2"/>
    <s v=" Romance"/>
    <s v=" Thriller"/>
    <n v="128"/>
    <s v="USA"/>
    <x v="1"/>
    <s v="Alfred Hitchcock"/>
    <m/>
    <n v="7796389"/>
    <x v="10"/>
    <x v="7"/>
  </r>
  <r>
    <s v="tt0053125"/>
    <n v="1"/>
    <s v="North by Northwest"/>
    <x v="11"/>
    <x v="5"/>
    <s v=" Mystery"/>
    <s v=" Thriller"/>
    <n v="136"/>
    <s v="USA"/>
    <x v="2"/>
    <s v="Alfred Hitchcock"/>
    <m/>
    <n v="73446"/>
    <x v="11"/>
    <x v="7"/>
  </r>
  <r>
    <s v="tt0054215"/>
    <n v="1"/>
    <s v="Psycho"/>
    <x v="12"/>
    <x v="6"/>
    <s v=" Mystery"/>
    <s v=" Thriller"/>
    <n v="109"/>
    <s v="USA"/>
    <x v="4"/>
    <s v="Alfred Hitchcock"/>
    <m/>
    <n v="32008644"/>
    <x v="12"/>
    <x v="0"/>
  </r>
  <r>
    <s v="tt0056172"/>
    <n v="1"/>
    <s v="Lawrence of Arabia"/>
    <x v="13"/>
    <x v="5"/>
    <s v=" Biography"/>
    <s v=" Drama"/>
    <n v="228"/>
    <s v="UK"/>
    <x v="1"/>
    <s v="David Lean"/>
    <m/>
    <n v="45710874"/>
    <x v="13"/>
    <x v="7"/>
  </r>
  <r>
    <s v="tt0057012"/>
    <n v="1"/>
    <s v="Dr. Strangelove or: How I Learned to Stop Worrying and Love the Bomb"/>
    <x v="14"/>
    <x v="0"/>
    <m/>
    <m/>
    <n v="95"/>
    <s v="UK"/>
    <x v="1"/>
    <s v="Stanley Kubrick"/>
    <m/>
    <n v="9443876"/>
    <x v="14"/>
    <x v="5"/>
  </r>
  <r>
    <s v="tt0059578"/>
    <n v="1"/>
    <s v="Per qualche dollaro in più"/>
    <x v="15"/>
    <x v="7"/>
    <m/>
    <m/>
    <n v="132"/>
    <s v="Italy"/>
    <x v="4"/>
    <s v="Sergio Leone"/>
    <m/>
    <n v="15000000"/>
    <x v="15"/>
    <x v="4"/>
  </r>
  <r>
    <s v="tt0060196"/>
    <n v="1"/>
    <s v="Il buono, il brutto, il cattivo"/>
    <x v="16"/>
    <x v="7"/>
    <m/>
    <m/>
    <n v="161"/>
    <s v="Italy"/>
    <x v="2"/>
    <s v="Sergio Leone"/>
    <m/>
    <n v="25252481"/>
    <x v="16"/>
    <x v="8"/>
  </r>
  <r>
    <s v="tt0062622"/>
    <n v="1"/>
    <s v="2001: A Space Odyssey"/>
    <x v="17"/>
    <x v="5"/>
    <s v=" Sci-Fi"/>
    <m/>
    <n v="149"/>
    <s v="UK"/>
    <x v="0"/>
    <s v="Stanley Kubrick"/>
    <m/>
    <n v="68989547"/>
    <x v="17"/>
    <x v="3"/>
  </r>
  <r>
    <s v="tt0064116"/>
    <n v="1"/>
    <s v="C'era una volta il West"/>
    <x v="18"/>
    <x v="7"/>
    <m/>
    <m/>
    <n v="165"/>
    <s v="Italy"/>
    <x v="5"/>
    <s v="Sergio Leone"/>
    <m/>
    <n v="112911"/>
    <x v="18"/>
    <x v="0"/>
  </r>
  <r>
    <s v="tt0066921"/>
    <n v="1"/>
    <s v="A Clockwork Orange"/>
    <x v="19"/>
    <x v="4"/>
    <s v=" Drama"/>
    <s v=" Sci-Fi"/>
    <n v="136"/>
    <s v="UK"/>
    <x v="4"/>
    <s v="Stanley Kubrick"/>
    <m/>
    <n v="26903440"/>
    <x v="19"/>
    <x v="9"/>
  </r>
  <r>
    <s v="tt0068646"/>
    <n v="1"/>
    <s v="The Godfather"/>
    <x v="20"/>
    <x v="4"/>
    <s v=" Drama"/>
    <m/>
    <n v="175"/>
    <s v="USA"/>
    <x v="4"/>
    <s v="Francis Ford Coppola"/>
    <m/>
    <n v="246120974"/>
    <x v="20"/>
    <x v="10"/>
  </r>
  <r>
    <s v="tt0070735"/>
    <n v="1"/>
    <s v="The Sting"/>
    <x v="21"/>
    <x v="0"/>
    <s v=" Crime"/>
    <s v=" Drama"/>
    <n v="129"/>
    <s v="USA"/>
    <x v="1"/>
    <s v="George Roy Hill"/>
    <m/>
    <n v="156000000"/>
    <x v="21"/>
    <x v="7"/>
  </r>
  <r>
    <s v="tt0071562"/>
    <n v="1"/>
    <s v="The Godfather: Part II"/>
    <x v="22"/>
    <x v="4"/>
    <s v=" Drama"/>
    <m/>
    <n v="220"/>
    <s v="USA"/>
    <x v="4"/>
    <s v="Francis Ford Coppola"/>
    <m/>
    <n v="408035783"/>
    <x v="22"/>
    <x v="11"/>
  </r>
  <r>
    <s v="tt0073486"/>
    <n v="1"/>
    <s v="One Flew Over the Cuckoo's Nest"/>
    <x v="23"/>
    <x v="1"/>
    <m/>
    <m/>
    <n v="133"/>
    <s v="USA"/>
    <x v="4"/>
    <s v="Milos Forman"/>
    <m/>
    <n v="108997629"/>
    <x v="23"/>
    <x v="12"/>
  </r>
  <r>
    <s v="tt0075314"/>
    <n v="1"/>
    <s v="Taxi Driver"/>
    <x v="24"/>
    <x v="4"/>
    <s v=" Drama"/>
    <m/>
    <n v="114"/>
    <s v="USA"/>
    <x v="4"/>
    <s v="Martin Scorsese"/>
    <m/>
    <n v="28441292"/>
    <x v="24"/>
    <x v="13"/>
  </r>
  <r>
    <s v="tt0076759"/>
    <n v="1"/>
    <s v="Star Wars"/>
    <x v="25"/>
    <x v="3"/>
    <s v=" Adventure"/>
    <s v=" Fantasy"/>
    <n v="121"/>
    <s v="USA"/>
    <x v="1"/>
    <s v="George Lucas"/>
    <m/>
    <n v="775768912"/>
    <x v="25"/>
    <x v="2"/>
  </r>
  <r>
    <s v="tt0078748"/>
    <n v="1"/>
    <s v="Aliens"/>
    <x v="26"/>
    <x v="6"/>
    <s v=" Sci-Fi"/>
    <m/>
    <n v="117"/>
    <s v="UK"/>
    <x v="4"/>
    <s v="Ridley Scott"/>
    <m/>
    <n v="108110316"/>
    <x v="26"/>
    <x v="14"/>
  </r>
  <r>
    <s v="tt0078788"/>
    <n v="1"/>
    <s v="Apocalypse Now"/>
    <x v="27"/>
    <x v="1"/>
    <s v=" Mystery"/>
    <s v=" War"/>
    <n v="147"/>
    <s v="USA"/>
    <x v="4"/>
    <s v="Francis Ford Coppola"/>
    <m/>
    <n v="91968688"/>
    <x v="27"/>
    <x v="14"/>
  </r>
  <r>
    <s v="tt0080684"/>
    <n v="1"/>
    <s v="Star Wars: Episode V - The Empire Strikes Back"/>
    <x v="28"/>
    <x v="3"/>
    <s v=" Adventure"/>
    <s v=" Fantasy"/>
    <n v="124"/>
    <s v="USA"/>
    <x v="1"/>
    <s v="Irvin Kershner"/>
    <m/>
    <n v="549265501"/>
    <x v="28"/>
    <x v="12"/>
  </r>
  <r>
    <s v="tt0081505"/>
    <n v="1"/>
    <s v="The Shining"/>
    <x v="29"/>
    <x v="1"/>
    <s v=" Horror"/>
    <m/>
    <n v="146"/>
    <s v="UK"/>
    <x v="4"/>
    <s v="Stanley Kubrick"/>
    <m/>
    <n v="46520613"/>
    <x v="29"/>
    <x v="14"/>
  </r>
  <r>
    <s v="tt0082971"/>
    <n v="1"/>
    <s v="Raiders of the Lost Ark"/>
    <x v="30"/>
    <x v="3"/>
    <s v=" Adventure"/>
    <m/>
    <n v="115"/>
    <s v="USA"/>
    <x v="1"/>
    <s v="Steven Spielberg"/>
    <m/>
    <n v="390133212"/>
    <x v="30"/>
    <x v="14"/>
  </r>
  <r>
    <s v="tt0082096"/>
    <n v="1"/>
    <s v="Das Boot"/>
    <x v="31"/>
    <x v="5"/>
    <s v=" Drama"/>
    <s v=" Thriller"/>
    <n v="149"/>
    <s v="Germany"/>
    <x v="4"/>
    <s v="Wolfgang Petersen"/>
    <m/>
    <n v="11487676"/>
    <x v="31"/>
    <x v="7"/>
  </r>
  <r>
    <s v="tt0086190"/>
    <n v="1"/>
    <s v="Star Wars: Episode VI - Return of the Jedi"/>
    <x v="32"/>
    <x v="3"/>
    <s v=" Adventure"/>
    <s v=" Fantasy"/>
    <n v="131"/>
    <s v="USA"/>
    <x v="1"/>
    <s v="Richard Marquand"/>
    <m/>
    <n v="475347111"/>
    <x v="32"/>
    <x v="15"/>
  </r>
  <r>
    <s v="tt0086250"/>
    <n v="1"/>
    <s v="Scarface"/>
    <x v="33"/>
    <x v="4"/>
    <s v=" Drama"/>
    <m/>
    <n v="170"/>
    <s v="USA"/>
    <x v="4"/>
    <s v="Brian De Palma"/>
    <m/>
    <n v="66023585"/>
    <x v="33"/>
    <x v="9"/>
  </r>
  <r>
    <s v="tt0087843"/>
    <n v="1"/>
    <s v="Once Upon a Time in America"/>
    <x v="34"/>
    <x v="4"/>
    <s v=" Drama"/>
    <m/>
    <n v="229"/>
    <s v="USA"/>
    <x v="4"/>
    <s v="Sergio Leone"/>
    <m/>
    <n v="5472914"/>
    <x v="34"/>
    <x v="1"/>
  </r>
  <r>
    <s v="tt0086879"/>
    <n v="1"/>
    <s v="Amadeus"/>
    <x v="35"/>
    <x v="8"/>
    <s v=" Drama"/>
    <s v=" History"/>
    <n v="160"/>
    <s v="USA"/>
    <x v="4"/>
    <s v="Milos Forman"/>
    <m/>
    <n v="52066791"/>
    <x v="35"/>
    <x v="3"/>
  </r>
  <r>
    <s v="tt0088763"/>
    <n v="1"/>
    <s v="Back to the Future"/>
    <x v="36"/>
    <x v="5"/>
    <s v=" Comedy"/>
    <s v=" Sci-Fi"/>
    <n v="116"/>
    <s v="USA"/>
    <x v="1"/>
    <s v="Robert Zemeckis"/>
    <m/>
    <n v="388774684"/>
    <x v="36"/>
    <x v="16"/>
  </r>
  <r>
    <s v="tt0090605"/>
    <n v="1"/>
    <s v="Aliens"/>
    <x v="37"/>
    <x v="3"/>
    <s v=" Adventure"/>
    <s v=" Sci-Fi"/>
    <n v="137"/>
    <s v="USA"/>
    <x v="4"/>
    <s v="James Cameron"/>
    <m/>
    <n v="131384634"/>
    <x v="37"/>
    <x v="13"/>
  </r>
  <r>
    <s v="tt0093058"/>
    <n v="1"/>
    <s v="Full Metal Jacket"/>
    <x v="38"/>
    <x v="1"/>
    <s v=" War"/>
    <m/>
    <n v="116"/>
    <s v="UK"/>
    <x v="4"/>
    <s v="Stanley Kubrick"/>
    <m/>
    <n v="46357676"/>
    <x v="38"/>
    <x v="13"/>
  </r>
  <r>
    <s v="tt0095327"/>
    <n v="1"/>
    <s v="Hotaru no haka"/>
    <x v="39"/>
    <x v="9"/>
    <s v=" Drama"/>
    <s v=" War"/>
    <n v="89"/>
    <s v="Japan"/>
    <x v="3"/>
    <s v="Isao Takahata"/>
    <m/>
    <n v="516962"/>
    <x v="39"/>
    <x v="0"/>
  </r>
  <r>
    <s v="tt0095765"/>
    <n v="1"/>
    <s v="Nuovo Cinema Paradiso"/>
    <x v="40"/>
    <x v="1"/>
    <m/>
    <m/>
    <n v="155"/>
    <s v="Italy"/>
    <x v="1"/>
    <s v="Giuseppe Tornatore"/>
    <m/>
    <n v="13826605"/>
    <x v="40"/>
    <x v="0"/>
  </r>
  <r>
    <s v="tt0099685"/>
    <n v="1"/>
    <s v="Goodfellas"/>
    <x v="41"/>
    <x v="8"/>
    <s v=" Crime"/>
    <s v=" Drama"/>
    <n v="146"/>
    <s v="USA"/>
    <x v="4"/>
    <s v="Martin Scorsese"/>
    <m/>
    <n v="46879633"/>
    <x v="41"/>
    <x v="12"/>
  </r>
  <r>
    <s v="tt0102926"/>
    <n v="1"/>
    <s v="The Silence of the Lambs"/>
    <x v="42"/>
    <x v="4"/>
    <s v=" Drama"/>
    <s v=" Thriller"/>
    <n v="118"/>
    <s v="USA"/>
    <x v="4"/>
    <s v="Jonathan Demme"/>
    <m/>
    <n v="272753884"/>
    <x v="42"/>
    <x v="2"/>
  </r>
  <r>
    <s v="tt0103064"/>
    <n v="1"/>
    <s v="Terminator 2: Judgment Day"/>
    <x v="43"/>
    <x v="3"/>
    <s v=" Sci-Fi"/>
    <m/>
    <n v="137"/>
    <s v="USA"/>
    <x v="4"/>
    <s v="James Cameron"/>
    <m/>
    <n v="520884847"/>
    <x v="43"/>
    <x v="17"/>
  </r>
  <r>
    <s v="tt0105236"/>
    <n v="1"/>
    <s v="Reservoir Dogs"/>
    <x v="44"/>
    <x v="4"/>
    <s v=" Drama"/>
    <s v=" Thriller"/>
    <n v="99"/>
    <s v="USA"/>
    <x v="4"/>
    <s v="Quentin Tarantino"/>
    <m/>
    <n v="2889963"/>
    <x v="44"/>
    <x v="15"/>
  </r>
  <r>
    <s v="tt0108052"/>
    <n v="1"/>
    <s v="Schindler's List"/>
    <x v="45"/>
    <x v="8"/>
    <s v=" Drama"/>
    <s v=" History"/>
    <n v="195"/>
    <s v="USA"/>
    <x v="4"/>
    <s v="Steven Spielberg"/>
    <m/>
    <n v="322287794"/>
    <x v="45"/>
    <x v="6"/>
  </r>
  <r>
    <s v="tt0109830"/>
    <n v="1"/>
    <s v="Forrest Gump"/>
    <x v="46"/>
    <x v="1"/>
    <s v=" Romance"/>
    <m/>
    <n v="142"/>
    <s v="USA"/>
    <x v="5"/>
    <s v="Robert Zemeckis"/>
    <m/>
    <n v="678229452"/>
    <x v="46"/>
    <x v="8"/>
  </r>
  <r>
    <s v="tt0110912"/>
    <n v="1"/>
    <s v="Pulp Fiction"/>
    <x v="47"/>
    <x v="4"/>
    <s v=" Drama"/>
    <m/>
    <n v="154"/>
    <s v="USA"/>
    <x v="4"/>
    <s v="Quentin Tarantino"/>
    <m/>
    <n v="222831817"/>
    <x v="47"/>
    <x v="6"/>
  </r>
  <r>
    <s v="tt0110357"/>
    <n v="1"/>
    <s v="The Lion King"/>
    <x v="48"/>
    <x v="9"/>
    <s v=" Adventure"/>
    <s v=" Drama"/>
    <n v="88"/>
    <s v="USA"/>
    <x v="0"/>
    <s v="Roger Allers"/>
    <s v=" Rob Minkoff"/>
    <n v="968511805"/>
    <x v="48"/>
    <x v="17"/>
  </r>
  <r>
    <s v="tt0111161"/>
    <n v="1"/>
    <s v="The Shawshank Redemption"/>
    <x v="49"/>
    <x v="1"/>
    <m/>
    <m/>
    <n v="142"/>
    <s v="USA"/>
    <x v="4"/>
    <s v="Frank Darabont"/>
    <m/>
    <n v="28815245"/>
    <x v="49"/>
    <x v="18"/>
  </r>
  <r>
    <s v="tt0110413"/>
    <n v="1"/>
    <s v="Léon"/>
    <x v="50"/>
    <x v="3"/>
    <s v=" Crime"/>
    <s v=" Drama"/>
    <n v="110"/>
    <s v="France"/>
    <x v="4"/>
    <s v="Luc Besson"/>
    <m/>
    <n v="19552639"/>
    <x v="50"/>
    <x v="16"/>
  </r>
  <r>
    <s v="tt0114814"/>
    <n v="1"/>
    <s v="The Usual Suspects"/>
    <x v="51"/>
    <x v="4"/>
    <s v=" Mystery"/>
    <s v=" Thriller"/>
    <n v="106"/>
    <s v="USA"/>
    <x v="4"/>
    <s v="Bryan Singer"/>
    <m/>
    <n v="23341568"/>
    <x v="51"/>
    <x v="17"/>
  </r>
  <r>
    <s v="tt0112573"/>
    <n v="1"/>
    <s v="Braveheart"/>
    <x v="52"/>
    <x v="8"/>
    <s v=" Drama"/>
    <s v=" History"/>
    <n v="178"/>
    <s v="USA"/>
    <x v="4"/>
    <s v="Mel Gibson"/>
    <m/>
    <n v="213216216"/>
    <x v="52"/>
    <x v="15"/>
  </r>
  <r>
    <s v="tt0114369"/>
    <n v="1"/>
    <s v="Se7en"/>
    <x v="53"/>
    <x v="4"/>
    <s v=" Drama"/>
    <s v=" Mystery"/>
    <n v="127"/>
    <s v="USA"/>
    <x v="4"/>
    <s v="David Fincher"/>
    <m/>
    <n v="327333559"/>
    <x v="53"/>
    <x v="2"/>
  </r>
  <r>
    <s v="tt0114709"/>
    <n v="1"/>
    <s v="Toy Story"/>
    <x v="54"/>
    <x v="9"/>
    <s v=" Adventure"/>
    <s v=" Comedy"/>
    <n v="81"/>
    <s v="USA"/>
    <x v="0"/>
    <s v="John Lasseter"/>
    <m/>
    <n v="404265438"/>
    <x v="54"/>
    <x v="15"/>
  </r>
  <r>
    <s v="tt0118799"/>
    <n v="1"/>
    <s v="La vita B9 bella"/>
    <x v="55"/>
    <x v="0"/>
    <s v=" Drama"/>
    <s v=" Romance"/>
    <n v="116"/>
    <s v="Italy"/>
    <x v="5"/>
    <s v="Roberto Benigni"/>
    <m/>
    <n v="230098753"/>
    <x v="55"/>
    <x v="2"/>
  </r>
  <r>
    <s v="tt0119217"/>
    <n v="1"/>
    <s v="Good Will Hunting"/>
    <x v="56"/>
    <x v="1"/>
    <s v=" Romance"/>
    <m/>
    <n v="126"/>
    <s v="USA"/>
    <x v="4"/>
    <s v="Gus Van Sant"/>
    <m/>
    <n v="225933435"/>
    <x v="56"/>
    <x v="9"/>
  </r>
  <r>
    <s v="tt0120815"/>
    <n v="1"/>
    <s v="Saving Private Ryan"/>
    <x v="57"/>
    <x v="1"/>
    <s v=" War"/>
    <m/>
    <n v="169"/>
    <s v="USA"/>
    <x v="4"/>
    <s v="Steven Spielberg"/>
    <m/>
    <n v="482349603"/>
    <x v="57"/>
    <x v="2"/>
  </r>
  <r>
    <s v="tt0133093"/>
    <n v="1"/>
    <s v="The Matrix"/>
    <x v="58"/>
    <x v="3"/>
    <s v=" Sci-Fi"/>
    <m/>
    <n v="136"/>
    <s v="USA"/>
    <x v="4"/>
    <s v="Lana Wachowski"/>
    <s v=" Lilly Wachowski"/>
    <n v="465718588"/>
    <x v="58"/>
    <x v="12"/>
  </r>
  <r>
    <s v="tt0120586"/>
    <n v="1"/>
    <s v="American History X"/>
    <x v="59"/>
    <x v="1"/>
    <m/>
    <m/>
    <n v="119"/>
    <s v="USA"/>
    <x v="4"/>
    <s v="Tony Kaye"/>
    <m/>
    <n v="23875127"/>
    <x v="59"/>
    <x v="16"/>
  </r>
  <r>
    <s v="tt0137523"/>
    <n v="1"/>
    <s v="Fight Club"/>
    <x v="60"/>
    <x v="1"/>
    <m/>
    <m/>
    <n v="139"/>
    <s v="UK"/>
    <x v="4"/>
    <s v="David Fincher"/>
    <m/>
    <n v="101218804"/>
    <x v="60"/>
    <x v="8"/>
  </r>
  <r>
    <s v="tt0169547"/>
    <n v="1"/>
    <s v="American Beauty"/>
    <x v="61"/>
    <x v="1"/>
    <m/>
    <m/>
    <n v="122"/>
    <s v="USA"/>
    <x v="4"/>
    <s v="Sam Mendes"/>
    <m/>
    <n v="356296601"/>
    <x v="61"/>
    <x v="1"/>
  </r>
  <r>
    <s v="tt0119698"/>
    <n v="1"/>
    <s v="Mononoke-hime"/>
    <x v="62"/>
    <x v="9"/>
    <s v=" Adventure"/>
    <s v=" Fantasy"/>
    <n v="134"/>
    <s v="Japan"/>
    <x v="5"/>
    <s v="Hayao Miyazaki"/>
    <m/>
    <n v="169785629"/>
    <x v="62"/>
    <x v="1"/>
  </r>
  <r>
    <s v="tt0172495"/>
    <n v="1"/>
    <s v="Gladiator"/>
    <x v="62"/>
    <x v="3"/>
    <s v=" Adventure"/>
    <s v=" Drama"/>
    <n v="155"/>
    <s v="USA"/>
    <x v="4"/>
    <s v="Ridley Scott"/>
    <m/>
    <n v="465361176"/>
    <x v="63"/>
    <x v="16"/>
  </r>
  <r>
    <s v="tt0120689"/>
    <n v="1"/>
    <s v="The Green Mile"/>
    <x v="63"/>
    <x v="4"/>
    <s v=" Drama"/>
    <s v=" Fantasy"/>
    <n v="189"/>
    <s v="USA"/>
    <x v="4"/>
    <s v="Frank Darabont"/>
    <m/>
    <n v="286801374"/>
    <x v="64"/>
    <x v="2"/>
  </r>
  <r>
    <s v="tt0180093"/>
    <n v="1"/>
    <s v="Requiem for a Dream"/>
    <x v="64"/>
    <x v="1"/>
    <m/>
    <m/>
    <n v="102"/>
    <s v="USA"/>
    <x v="4"/>
    <s v="Darren Aronofsky"/>
    <m/>
    <n v="7390108"/>
    <x v="65"/>
    <x v="9"/>
  </r>
  <r>
    <s v="tt0209144"/>
    <n v="1"/>
    <s v="Memento"/>
    <x v="65"/>
    <x v="2"/>
    <s v=" Thriller"/>
    <m/>
    <n v="113"/>
    <s v="USA"/>
    <x v="4"/>
    <s v="Christopher Nolan"/>
    <m/>
    <n v="39970386"/>
    <x v="66"/>
    <x v="14"/>
  </r>
  <r>
    <s v="tt0208092"/>
    <n v="1"/>
    <s v="Snatch"/>
    <x v="66"/>
    <x v="0"/>
    <s v=" Crime"/>
    <m/>
    <n v="104"/>
    <s v="UK"/>
    <x v="4"/>
    <s v="Guy Ritchie"/>
    <m/>
    <n v="83557872"/>
    <x v="67"/>
    <x v="9"/>
  </r>
  <r>
    <s v="tt0120737"/>
    <n v="1"/>
    <s v="The Lord of the Rings: The Fellowship of the Ring"/>
    <x v="67"/>
    <x v="3"/>
    <s v=" Adventure"/>
    <s v=" Drama"/>
    <n v="178"/>
    <s v="New Zealand"/>
    <x v="5"/>
    <s v="Peter Jackson"/>
    <m/>
    <n v="887934303"/>
    <x v="68"/>
    <x v="8"/>
  </r>
  <r>
    <s v="tt0211915"/>
    <n v="1"/>
    <s v="Le fabuleux destin d'Amélie Poulain"/>
    <x v="68"/>
    <x v="0"/>
    <s v=" Romance"/>
    <m/>
    <n v="122"/>
    <s v="France"/>
    <x v="4"/>
    <s v="Jean-Pierre Jeunet"/>
    <m/>
    <n v="173924742"/>
    <x v="69"/>
    <x v="13"/>
  </r>
  <r>
    <s v="tt0253474"/>
    <n v="1"/>
    <s v="The Pianist"/>
    <x v="69"/>
    <x v="8"/>
    <s v=" Drama"/>
    <s v=" Music"/>
    <n v="150"/>
    <s v="UK"/>
    <x v="4"/>
    <s v="Roman Polanski"/>
    <m/>
    <n v="120072577"/>
    <x v="70"/>
    <x v="17"/>
  </r>
  <r>
    <s v="tt0167261"/>
    <n v="1"/>
    <s v="The Lord of the Rings: The Two Towers"/>
    <x v="70"/>
    <x v="3"/>
    <s v=" Adventure"/>
    <s v=" Drama"/>
    <n v="179"/>
    <s v="New Zealand"/>
    <x v="5"/>
    <s v="Peter Jackson"/>
    <m/>
    <n v="951227416"/>
    <x v="71"/>
    <x v="12"/>
  </r>
  <r>
    <s v="tt0245429"/>
    <n v="1"/>
    <s v="Sen to Chihiro no kamikakushi"/>
    <x v="71"/>
    <x v="9"/>
    <s v=" Adventure"/>
    <s v=" Family"/>
    <n v="125"/>
    <s v="Japan"/>
    <x v="1"/>
    <s v="Hayao Miyazaki"/>
    <m/>
    <n v="355467056"/>
    <x v="72"/>
    <x v="2"/>
  </r>
  <r>
    <s v="tt0317248"/>
    <n v="1"/>
    <s v="Cidade de Deus"/>
    <x v="72"/>
    <x v="4"/>
    <s v=" Drama"/>
    <m/>
    <n v="130"/>
    <s v="Brazil"/>
    <x v="4"/>
    <s v="Fernando Meirelles"/>
    <s v=" Kátia Lund"/>
    <n v="30680793"/>
    <x v="73"/>
    <x v="2"/>
  </r>
  <r>
    <s v="tt0167260"/>
    <n v="1"/>
    <s v="The Lord of the Rings: The Return of the King"/>
    <x v="73"/>
    <x v="3"/>
    <s v=" Adventure"/>
    <s v=" Drama"/>
    <n v="201"/>
    <s v="New Zealand"/>
    <x v="5"/>
    <s v="Peter Jackson"/>
    <m/>
    <n v="1142271098"/>
    <x v="74"/>
    <x v="6"/>
  </r>
  <r>
    <s v="tt0338013"/>
    <n v="1"/>
    <s v="Eternal Sunshine of the Spotless Mind"/>
    <x v="74"/>
    <x v="1"/>
    <s v=" Romance"/>
    <s v=" Sci-Fi"/>
    <n v="108"/>
    <s v="USA"/>
    <x v="4"/>
    <s v="Michel Gondry"/>
    <m/>
    <n v="74036715"/>
    <x v="75"/>
    <x v="15"/>
  </r>
  <r>
    <s v="tt0364569"/>
    <n v="1"/>
    <s v="Oldeuboi"/>
    <x v="75"/>
    <x v="3"/>
    <s v=" Drama"/>
    <s v=" Mystery"/>
    <n v="120"/>
    <s v="South Korea"/>
    <x v="4"/>
    <s v="Chan-wook Park"/>
    <m/>
    <n v="15002116"/>
    <x v="76"/>
    <x v="5"/>
  </r>
  <r>
    <s v="tt0407887"/>
    <n v="1"/>
    <s v="The Departed"/>
    <x v="76"/>
    <x v="4"/>
    <s v=" Drama"/>
    <s v=" Thriller"/>
    <n v="151"/>
    <s v="USA"/>
    <x v="4"/>
    <s v="Martin Scorsese"/>
    <m/>
    <n v="291465034"/>
    <x v="77"/>
    <x v="16"/>
  </r>
  <r>
    <s v="tt0482571"/>
    <n v="1"/>
    <s v="The Prestige"/>
    <x v="77"/>
    <x v="1"/>
    <s v=" Mystery"/>
    <s v=" Sci-Fi"/>
    <n v="130"/>
    <s v="UK"/>
    <x v="5"/>
    <s v="Christopher Nolan"/>
    <m/>
    <n v="109676311"/>
    <x v="78"/>
    <x v="16"/>
  </r>
  <r>
    <s v="tt0405094"/>
    <n v="1"/>
    <s v="Das Leben der Anderen"/>
    <x v="78"/>
    <x v="1"/>
    <s v=" Mystery"/>
    <s v=" Thriller"/>
    <n v="137"/>
    <s v="Germany"/>
    <x v="4"/>
    <s v="Florian Henckel von Donnersmarck"/>
    <m/>
    <n v="77356942"/>
    <x v="79"/>
    <x v="5"/>
  </r>
  <r>
    <s v="tt0468569"/>
    <n v="1"/>
    <s v="The Dark Knight"/>
    <x v="79"/>
    <x v="3"/>
    <s v=" Crime"/>
    <s v=" Drama"/>
    <n v="152"/>
    <s v="USA"/>
    <x v="5"/>
    <s v="Christopher Nolan"/>
    <m/>
    <n v="1005455211"/>
    <x v="80"/>
    <x v="11"/>
  </r>
  <r>
    <s v="tt0910970"/>
    <n v="1"/>
    <s v="WALL·E"/>
    <x v="80"/>
    <x v="9"/>
    <s v=" Adventure"/>
    <s v=" Family"/>
    <n v="98"/>
    <s v="USA"/>
    <x v="0"/>
    <s v="Andrew Stanton"/>
    <m/>
    <n v="521311860"/>
    <x v="81"/>
    <x v="14"/>
  </r>
  <r>
    <s v="tt0361748"/>
    <n v="1"/>
    <s v="Inglourious Basterds"/>
    <x v="81"/>
    <x v="5"/>
    <s v=" Drama"/>
    <s v=" War"/>
    <n v="153"/>
    <s v="Germany"/>
    <x v="4"/>
    <s v="Quentin Tarantino"/>
    <m/>
    <n v="321455689"/>
    <x v="82"/>
    <x v="1"/>
  </r>
  <r>
    <s v="tt1187043"/>
    <n v="1"/>
    <s v="3 Idiots"/>
    <x v="82"/>
    <x v="0"/>
    <s v=" Drama"/>
    <m/>
    <n v="170"/>
    <s v="India"/>
    <x v="5"/>
    <s v="Rajkumar Hirani"/>
    <m/>
    <n v="60262836"/>
    <x v="83"/>
    <x v="5"/>
  </r>
  <r>
    <s v="tt0435761"/>
    <n v="1"/>
    <s v="Toy Story 3"/>
    <x v="83"/>
    <x v="9"/>
    <s v=" Adventure"/>
    <s v=" Comedy"/>
    <n v="103"/>
    <s v="USA"/>
    <x v="0"/>
    <s v="Lee Unkrich"/>
    <m/>
    <n v="1066969703"/>
    <x v="84"/>
    <x v="9"/>
  </r>
  <r>
    <s v="tt1375666"/>
    <n v="1"/>
    <s v="Inception"/>
    <x v="84"/>
    <x v="3"/>
    <s v=" Adventure"/>
    <s v=" Sci-Fi"/>
    <n v="148"/>
    <s v="USA"/>
    <x v="5"/>
    <s v="Christopher Nolan"/>
    <m/>
    <n v="869784991"/>
    <x v="85"/>
    <x v="8"/>
  </r>
  <r>
    <s v="tt1675434"/>
    <n v="1"/>
    <s v="Intouchables"/>
    <x v="85"/>
    <x v="8"/>
    <s v=" Comedy"/>
    <s v=" Drama"/>
    <n v="112"/>
    <s v="France"/>
    <x v="4"/>
    <s v="Olivier Nakache"/>
    <s v=" Éric Toledano"/>
    <n v="426588510"/>
    <x v="86"/>
    <x v="17"/>
  </r>
  <r>
    <s v="tt1832382"/>
    <n v="1"/>
    <s v="Jodaeiye Nader az Simin"/>
    <x v="86"/>
    <x v="1"/>
    <m/>
    <m/>
    <n v="123"/>
    <s v="Iran"/>
    <x v="5"/>
    <s v="Asghar Farhadi"/>
    <m/>
    <n v="22926076"/>
    <x v="87"/>
    <x v="4"/>
  </r>
  <r>
    <s v="tt1345836"/>
    <n v="1"/>
    <s v="The Dark Knight Rises"/>
    <x v="87"/>
    <x v="3"/>
    <s v=" Adventure"/>
    <m/>
    <n v="164"/>
    <s v="UK"/>
    <x v="5"/>
    <s v="Christopher Nolan"/>
    <m/>
    <n v="1081133191"/>
    <x v="88"/>
    <x v="0"/>
  </r>
  <r>
    <s v="tt2106476"/>
    <n v="1"/>
    <s v="Jagten"/>
    <x v="88"/>
    <x v="1"/>
    <m/>
    <m/>
    <n v="115"/>
    <s v="Denmark"/>
    <x v="4"/>
    <s v="Thomas Vinterberg"/>
    <m/>
    <n v="15843274"/>
    <x v="89"/>
    <x v="7"/>
  </r>
  <r>
    <s v="tt1853728"/>
    <n v="1"/>
    <s v="Django Unchained"/>
    <x v="89"/>
    <x v="1"/>
    <s v=" Western"/>
    <m/>
    <n v="165"/>
    <s v="USA"/>
    <x v="4"/>
    <s v="Quentin Tarantino"/>
    <m/>
    <n v="425368238"/>
    <x v="90"/>
    <x v="0"/>
  </r>
  <r>
    <s v="tt0816692"/>
    <n v="1"/>
    <s v="Interstellar"/>
    <x v="90"/>
    <x v="5"/>
    <s v=" Drama"/>
    <s v=" Sci-Fi"/>
    <n v="169"/>
    <s v="USA"/>
    <x v="5"/>
    <s v="Christopher Nolan"/>
    <m/>
    <n v="696742056"/>
    <x v="91"/>
    <x v="2"/>
  </r>
  <r>
    <s v="tt2582802"/>
    <n v="1"/>
    <s v="Whiplash"/>
    <x v="91"/>
    <x v="1"/>
    <s v=" Music"/>
    <m/>
    <n v="106"/>
    <s v="USA"/>
    <x v="4"/>
    <s v="Damien Chazelle"/>
    <m/>
    <n v="48983260"/>
    <x v="92"/>
    <x v="17"/>
  </r>
  <r>
    <s v="tt2380307"/>
    <n v="1"/>
    <s v="Coco"/>
    <x v="92"/>
    <x v="9"/>
    <s v=" Adventure"/>
    <s v=" Family"/>
    <n v="105"/>
    <s v="USA"/>
    <x v="1"/>
    <s v="Lee Unkrich"/>
    <s v=" Adrian Molina"/>
    <n v="807083670"/>
    <x v="93"/>
    <x v="5"/>
  </r>
  <r>
    <s v="tt4154756"/>
    <n v="1"/>
    <s v="Avengers: Infinity War"/>
    <x v="93"/>
    <x v="3"/>
    <s v=" Adventure"/>
    <s v=" Sci-Fi"/>
    <n v="149"/>
    <s v="USA"/>
    <x v="5"/>
    <s v="Anthony Russo"/>
    <s v=" Joe Russo"/>
    <n v="2048359754"/>
    <x v="94"/>
    <x v="14"/>
  </r>
  <r>
    <s v="tt4633694"/>
    <n v="1"/>
    <s v="Spider-Man: Into the Spider-Verse"/>
    <x v="94"/>
    <x v="9"/>
    <s v=" Action"/>
    <s v=" Adventure"/>
    <n v="117"/>
    <s v="USA"/>
    <x v="1"/>
    <s v="Bob Persichetti"/>
    <s v=" Peter Ramsey"/>
    <n v="375540831"/>
    <x v="95"/>
    <x v="5"/>
  </r>
  <r>
    <s v="tt4154796"/>
    <n v="1"/>
    <s v="Avengers: Endgame"/>
    <x v="95"/>
    <x v="3"/>
    <s v=" Adventure"/>
    <s v=" Drama"/>
    <n v="181"/>
    <s v="USA"/>
    <x v="5"/>
    <s v="Anthony Russo"/>
    <s v=" Joe Russo"/>
    <n v="2797800564"/>
    <x v="96"/>
    <x v="14"/>
  </r>
  <r>
    <s v="tt7286456"/>
    <n v="1"/>
    <s v="Joker"/>
    <x v="96"/>
    <x v="4"/>
    <s v=" Drama"/>
    <s v=" Thriller"/>
    <n v="122"/>
    <s v="USA"/>
    <x v="4"/>
    <s v="Todd Phillips"/>
    <m/>
    <n v="1074251311"/>
    <x v="97"/>
    <x v="17"/>
  </r>
  <r>
    <s v="tt6751668"/>
    <n v="1"/>
    <s v="Gisaengchung"/>
    <x v="97"/>
    <x v="0"/>
    <s v=" Drama"/>
    <s v=" Thriller"/>
    <n v="132"/>
    <s v="South Korea"/>
    <x v="4"/>
    <s v="Bong Joon Ho"/>
    <m/>
    <n v="257604912"/>
    <x v="98"/>
    <x v="2"/>
  </r>
  <r>
    <s v="tt8579674"/>
    <n v="1"/>
    <n v="1917"/>
    <x v="98"/>
    <x v="1"/>
    <s v=" War"/>
    <m/>
    <n v="119"/>
    <s v="USA"/>
    <x v="4"/>
    <s v="Sam Mendes"/>
    <m/>
    <n v="384857224"/>
    <x v="9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5F192-80CD-4AFA-993C-875C9BCC951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:H21" firstHeaderRow="0" firstDataRow="1" firstDataCol="1"/>
  <pivotFields count="19">
    <pivotField showAll="0"/>
    <pivotField dataField="1" showAll="0"/>
    <pivotField showAll="0"/>
    <pivotField numFmtId="16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showAll="0">
      <items count="11">
        <item x="3"/>
        <item x="5"/>
        <item x="9"/>
        <item x="8"/>
        <item x="0"/>
        <item x="4"/>
        <item x="1"/>
        <item x="6"/>
        <item x="2"/>
        <item x="7"/>
        <item t="default"/>
      </items>
    </pivotField>
    <pivotField showAll="0"/>
    <pivotField showAll="0"/>
    <pivotField numFmtId="165" showAll="0"/>
    <pivotField showAll="0"/>
    <pivotField showAll="0"/>
    <pivotField showAll="0"/>
    <pivotField showAll="0"/>
    <pivotField dataField="1" numFmtId="165" showAll="0"/>
    <pivotField numFmtId="165" showAll="0"/>
    <pivotField numFmtId="166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D Count" fld="1" baseField="0" baseItem="0"/>
    <dataField name="% of Total Movies" fld="1" showDataAs="percentOfCol" baseField="4" baseItem="0" numFmtId="10"/>
    <dataField name="Total Income" fld="12" baseField="0" baseItem="0" numFmtId="165"/>
    <dataField name="% of Total Income" fld="12" showDataAs="percentOfCol" baseField="3" baseItem="0" numFmtId="10"/>
    <dataField name="Average Income" fld="12" subtotal="average" baseField="3" baseItem="0" numFmtId="165"/>
    <dataField name="Density Rating" fld="15" baseField="0" baseItem="0" numFmtId="165"/>
  </dataFields>
  <formats count="4">
    <format dxfId="64">
      <pivotArea outline="0" fieldPosition="0">
        <references count="1">
          <reference field="4294967294" count="1">
            <x v="3"/>
          </reference>
        </references>
      </pivotArea>
    </format>
    <format dxfId="63">
      <pivotArea outline="0" collapsedLevelsAreSubtotals="1" fieldPosition="0"/>
    </format>
    <format dxfId="62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61">
      <pivotArea outline="0" fieldPosition="0">
        <references count="1">
          <reference field="4294967294" count="1">
            <x v="1"/>
          </reference>
        </references>
      </pivotArea>
    </format>
  </formats>
  <conditionalFormats count="6">
    <conditionalFormat priority="1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47ADD-4BB4-41EA-B57D-F6836374820C}" name="PivotTable18" cacheId="0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 rowHeaderCaption="Content Rating" colHeaderCaption="Genre">
  <location ref="B68:M76" firstHeaderRow="1" firstDataRow="2" firstDataCol="1"/>
  <pivotFields count="19">
    <pivotField showAll="0"/>
    <pivotField showAll="0"/>
    <pivotField showAll="0"/>
    <pivotField numFmtId="16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Col" showAll="0">
      <items count="11">
        <item x="3"/>
        <item x="5"/>
        <item x="9"/>
        <item x="8"/>
        <item x="0"/>
        <item x="4"/>
        <item x="1"/>
        <item x="6"/>
        <item x="2"/>
        <item x="7"/>
        <item t="default"/>
      </items>
    </pivotField>
    <pivotField showAll="0"/>
    <pivotField showAll="0"/>
    <pivotField numFmtId="165" showAll="0"/>
    <pivotField showAll="0"/>
    <pivotField axis="axisRow" showAll="0">
      <items count="7">
        <item x="2"/>
        <item x="0"/>
        <item x="3"/>
        <item x="1"/>
        <item x="5"/>
        <item x="4"/>
        <item t="default"/>
      </items>
    </pivotField>
    <pivotField showAll="0"/>
    <pivotField showAll="0"/>
    <pivotField numFmtId="165" showAll="0"/>
    <pivotField numFmtId="165" showAll="0">
      <items count="101">
        <item x="5"/>
        <item x="1"/>
        <item x="0"/>
        <item x="6"/>
        <item x="87"/>
        <item x="40"/>
        <item x="39"/>
        <item x="15"/>
        <item x="31"/>
        <item x="21"/>
        <item x="13"/>
        <item x="89"/>
        <item x="11"/>
        <item x="18"/>
        <item x="34"/>
        <item x="8"/>
        <item x="62"/>
        <item x="83"/>
        <item x="95"/>
        <item x="79"/>
        <item x="93"/>
        <item x="10"/>
        <item x="35"/>
        <item x="99"/>
        <item x="3"/>
        <item x="4"/>
        <item x="7"/>
        <item x="14"/>
        <item x="98"/>
        <item x="76"/>
        <item x="2"/>
        <item x="12"/>
        <item x="17"/>
        <item x="27"/>
        <item x="55"/>
        <item x="72"/>
        <item x="37"/>
        <item x="38"/>
        <item x="9"/>
        <item x="16"/>
        <item x="73"/>
        <item x="69"/>
        <item x="92"/>
        <item x="24"/>
        <item x="70"/>
        <item x="33"/>
        <item x="86"/>
        <item x="84"/>
        <item x="19"/>
        <item x="65"/>
        <item x="96"/>
        <item x="67"/>
        <item x="26"/>
        <item x="94"/>
        <item x="56"/>
        <item x="97"/>
        <item x="54"/>
        <item x="30"/>
        <item x="29"/>
        <item x="75"/>
        <item x="23"/>
        <item x="44"/>
        <item x="48"/>
        <item x="32"/>
        <item x="52"/>
        <item x="51"/>
        <item x="81"/>
        <item x="43"/>
        <item x="41"/>
        <item x="50"/>
        <item x="59"/>
        <item x="36"/>
        <item x="61"/>
        <item x="22"/>
        <item x="66"/>
        <item x="64"/>
        <item x="28"/>
        <item x="78"/>
        <item x="77"/>
        <item x="45"/>
        <item x="57"/>
        <item x="25"/>
        <item x="82"/>
        <item x="42"/>
        <item x="63"/>
        <item x="90"/>
        <item x="53"/>
        <item x="91"/>
        <item x="71"/>
        <item x="88"/>
        <item x="20"/>
        <item x="74"/>
        <item x="68"/>
        <item x="58"/>
        <item x="46"/>
        <item x="47"/>
        <item x="60"/>
        <item x="85"/>
        <item x="80"/>
        <item x="49"/>
        <item t="default"/>
      </items>
    </pivotField>
    <pivotField numFmtId="166" showAll="0">
      <items count="20">
        <item x="4"/>
        <item x="7"/>
        <item x="3"/>
        <item x="13"/>
        <item x="9"/>
        <item x="15"/>
        <item x="1"/>
        <item x="5"/>
        <item x="14"/>
        <item x="0"/>
        <item x="17"/>
        <item x="16"/>
        <item x="2"/>
        <item x="12"/>
        <item x="8"/>
        <item x="6"/>
        <item x="11"/>
        <item x="10"/>
        <item x="18"/>
        <item t="default"/>
      </items>
    </pivotField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Density" fld="15" baseField="0" baseItem="0" numFmtId="43"/>
  </dataFields>
  <formats count="13">
    <format dxfId="77">
      <pivotArea type="topRight" dataOnly="0" labelOnly="1" outline="0" fieldPosition="0"/>
    </format>
    <format dxfId="76">
      <pivotArea outline="0" collapsedLevelsAreSubtotals="1" fieldPosition="0"/>
    </format>
    <format dxfId="75">
      <pivotArea dataOnly="0" labelOnly="1" outline="0" axis="axisValues" fieldPosition="0"/>
    </format>
    <format dxfId="74">
      <pivotArea outline="0" collapsedLevelsAreSubtotals="1" fieldPosition="0"/>
    </format>
    <format dxfId="7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collapsedLevelsAreSubtotals="1" fieldPosition="0">
        <references count="3">
          <reference field="4294967294" count="1" selected="0">
            <x v="0"/>
          </reference>
          <reference field="4" count="1">
            <x v="2"/>
          </reference>
          <reference field="9" count="1" selected="0">
            <x v="1"/>
          </reference>
        </references>
      </pivotArea>
    </format>
    <format dxfId="69">
      <pivotArea collapsedLevelsAreSubtotals="1" fieldPosition="0">
        <references count="3">
          <reference field="4294967294" count="1" selected="0">
            <x v="0"/>
          </reference>
          <reference field="4" count="1">
            <x v="0"/>
          </reference>
          <reference field="9" count="1" selected="0">
            <x v="4"/>
          </reference>
        </references>
      </pivotArea>
    </format>
    <format dxfId="68">
      <pivotArea collapsedLevelsAreSubtotals="1" fieldPosition="0">
        <references count="3">
          <reference field="4294967294" count="1" selected="0">
            <x v="0"/>
          </reference>
          <reference field="4" count="1">
            <x v="1"/>
          </reference>
          <reference field="9" count="1" selected="0">
            <x v="4"/>
          </reference>
        </references>
      </pivotArea>
    </format>
    <format dxfId="67">
      <pivotArea field="9" type="button" dataOnly="0" labelOnly="1" outline="0" axis="axisRow" fieldPosition="0"/>
    </format>
    <format dxfId="66">
      <pivotArea dataOnly="0" labelOnly="1" fieldPosition="0">
        <references count="1">
          <reference field="4" count="0"/>
        </references>
      </pivotArea>
    </format>
    <format dxfId="65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1F10B-CE6E-4E15-BB48-D7E25FA5A143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G39" firstHeaderRow="0" firstDataRow="1" firstDataCol="1"/>
  <pivotFields count="19">
    <pivotField dataField="1" showAll="0"/>
    <pivotField dataField="1" showAll="0"/>
    <pivotField showAll="0"/>
    <pivotField numFmtId="16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showAll="0"/>
    <pivotField numFmtId="165" showAll="0"/>
    <pivotField showAll="0"/>
    <pivotField axis="axisRow" showAll="0" sortType="descending">
      <items count="7">
        <item x="2"/>
        <item x="0"/>
        <item x="3"/>
        <item x="1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/>
    <pivotField showAll="0"/>
    <pivotField dataField="1" numFmtId="165" showAll="0"/>
    <pivotField numFmtId="165" showAll="0"/>
    <pivotField numFmtId="166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</pivotFields>
  <rowFields count="1">
    <field x="9"/>
  </rowFields>
  <rowItems count="7">
    <i>
      <x v="4"/>
    </i>
    <i>
      <x v="1"/>
    </i>
    <i>
      <x v="3"/>
    </i>
    <i>
      <x v="5"/>
    </i>
    <i>
      <x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Movies" fld="1" baseField="9" baseItem="0"/>
    <dataField name="% of Total Movies" fld="0" subtotal="count" showDataAs="percentOfCol" baseField="8" baseItem="0" numFmtId="10"/>
    <dataField name="Total Income" fld="12" baseField="0" baseItem="0" numFmtId="165"/>
    <dataField name="% of Total Income" fld="12" showDataAs="percentOfCol" baseField="8" baseItem="0" numFmtId="10"/>
    <dataField name="Density Rating" fld="15" subtotal="count" baseField="8" baseItem="0"/>
  </dataFields>
  <formats count="3">
    <format dxfId="80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7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4"/>
          </reference>
          <reference field="9" count="0"/>
        </references>
      </pivotArea>
    </format>
  </formats>
  <conditionalFormats count="5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9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9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9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9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BA94B-0D5B-4A7D-9C76-C126FCAE4586}" name="PivotTable14" cacheId="0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>
  <location ref="B48:G60" firstHeaderRow="0" firstDataRow="1" firstDataCol="1"/>
  <pivotFields count="19">
    <pivotField showAll="0"/>
    <pivotField dataField="1" showAll="0"/>
    <pivotField showAll="0"/>
    <pivotField numFmtId="16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showAll="0">
      <items count="11">
        <item x="3"/>
        <item x="5"/>
        <item x="9"/>
        <item x="8"/>
        <item x="0"/>
        <item x="4"/>
        <item x="1"/>
        <item x="6"/>
        <item x="2"/>
        <item x="7"/>
        <item t="default"/>
      </items>
    </pivotField>
    <pivotField showAll="0"/>
    <pivotField showAll="0"/>
    <pivotField numFmtId="165" showAll="0"/>
    <pivotField showAll="0"/>
    <pivotField axis="axisRow" showAll="0">
      <items count="7">
        <item h="1" x="2"/>
        <item x="0"/>
        <item h="1" x="3"/>
        <item h="1" x="1"/>
        <item x="5"/>
        <item h="1" x="4"/>
        <item t="default"/>
      </items>
    </pivotField>
    <pivotField showAll="0"/>
    <pivotField showAll="0"/>
    <pivotField dataField="1" numFmtId="165" showAll="0"/>
    <pivotField numFmtId="165" showAll="0">
      <items count="101">
        <item x="5"/>
        <item x="1"/>
        <item x="0"/>
        <item x="6"/>
        <item x="87"/>
        <item x="40"/>
        <item x="39"/>
        <item x="15"/>
        <item x="31"/>
        <item x="21"/>
        <item x="13"/>
        <item x="89"/>
        <item x="11"/>
        <item x="18"/>
        <item x="34"/>
        <item x="8"/>
        <item x="62"/>
        <item x="83"/>
        <item x="95"/>
        <item x="79"/>
        <item x="93"/>
        <item x="10"/>
        <item x="35"/>
        <item x="99"/>
        <item x="3"/>
        <item x="4"/>
        <item x="7"/>
        <item x="14"/>
        <item x="98"/>
        <item x="76"/>
        <item x="2"/>
        <item x="12"/>
        <item x="17"/>
        <item x="27"/>
        <item x="55"/>
        <item x="72"/>
        <item x="37"/>
        <item x="38"/>
        <item x="9"/>
        <item x="16"/>
        <item x="73"/>
        <item x="69"/>
        <item x="92"/>
        <item x="24"/>
        <item x="70"/>
        <item x="33"/>
        <item x="86"/>
        <item x="84"/>
        <item x="19"/>
        <item x="65"/>
        <item x="96"/>
        <item x="67"/>
        <item x="26"/>
        <item x="94"/>
        <item x="56"/>
        <item x="97"/>
        <item x="54"/>
        <item x="30"/>
        <item x="29"/>
        <item x="75"/>
        <item x="23"/>
        <item x="44"/>
        <item x="48"/>
        <item x="32"/>
        <item x="52"/>
        <item x="51"/>
        <item x="81"/>
        <item x="43"/>
        <item x="41"/>
        <item x="50"/>
        <item x="59"/>
        <item x="36"/>
        <item x="61"/>
        <item x="22"/>
        <item x="66"/>
        <item x="64"/>
        <item x="28"/>
        <item x="78"/>
        <item x="77"/>
        <item x="45"/>
        <item x="57"/>
        <item x="25"/>
        <item x="82"/>
        <item x="42"/>
        <item x="63"/>
        <item x="90"/>
        <item x="53"/>
        <item x="91"/>
        <item x="71"/>
        <item x="88"/>
        <item x="20"/>
        <item x="74"/>
        <item x="68"/>
        <item x="58"/>
        <item x="46"/>
        <item x="47"/>
        <item x="60"/>
        <item x="85"/>
        <item x="80"/>
        <item x="49"/>
        <item t="default"/>
      </items>
    </pivotField>
    <pivotField numFmtId="166" showAll="0">
      <items count="20">
        <item x="4"/>
        <item x="7"/>
        <item x="3"/>
        <item x="13"/>
        <item x="9"/>
        <item x="15"/>
        <item x="1"/>
        <item x="5"/>
        <item x="14"/>
        <item x="0"/>
        <item x="17"/>
        <item x="16"/>
        <item x="2"/>
        <item x="12"/>
        <item x="8"/>
        <item x="6"/>
        <item x="11"/>
        <item x="10"/>
        <item x="18"/>
        <item t="default"/>
      </items>
    </pivotField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t="default"/>
      </items>
    </pivotField>
  </pivotFields>
  <rowFields count="2">
    <field x="9"/>
    <field x="4"/>
  </rowFields>
  <rowItems count="12">
    <i>
      <x v="1"/>
    </i>
    <i r="1">
      <x v="1"/>
    </i>
    <i r="1">
      <x v="2"/>
    </i>
    <i r="1">
      <x v="4"/>
    </i>
    <i>
      <x v="4"/>
    </i>
    <i r="1">
      <x/>
    </i>
    <i r="1">
      <x v="1"/>
    </i>
    <i r="1">
      <x v="2"/>
    </i>
    <i r="1">
      <x v="4"/>
    </i>
    <i r="1">
      <x v="6"/>
    </i>
    <i r="1"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Movies" fld="1" baseField="9" baseItem="1"/>
    <dataField name="% of Movie Titles" fld="1" showDataAs="percentOfCol" baseField="9" baseItem="4" numFmtId="10"/>
    <dataField name="Total Income" fld="12" baseField="9" baseItem="1" numFmtId="167"/>
    <dataField name="Average Income" fld="12" showDataAs="percentOfCol" baseField="9" baseItem="4" numFmtId="10"/>
    <dataField name="Density" fld="15" baseField="0" baseItem="0" numFmtId="43"/>
  </dataFields>
  <formats count="15">
    <format dxfId="95">
      <pivotArea field="9" type="button" dataOnly="0" labelOnly="1" outline="0" axis="axisRow" fieldPosition="0"/>
    </format>
    <format dxfId="94">
      <pivotArea type="topRight" dataOnly="0" labelOnly="1" outline="0" fieldPosition="0"/>
    </format>
    <format dxfId="93">
      <pivotArea outline="0" collapsedLevelsAreSubtotals="1" fieldPosition="0"/>
    </format>
    <format dxfId="92">
      <pivotArea dataOnly="0" labelOnly="1" outline="0" axis="axisValues" fieldPosition="0"/>
    </format>
    <format dxfId="91">
      <pivotArea outline="0" fieldPosition="0">
        <references count="1">
          <reference field="4294967294" count="1">
            <x v="1"/>
          </reference>
        </references>
      </pivotArea>
    </format>
    <format dxfId="90">
      <pivotArea outline="0" fieldPosition="0">
        <references count="1">
          <reference field="4294967294" count="1">
            <x v="3"/>
          </reference>
        </references>
      </pivotArea>
    </format>
    <format dxfId="8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7">
      <pivotArea outline="0" collapsedLevelsAreSubtotals="1" fieldPosition="0"/>
    </format>
    <format dxfId="8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8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83">
      <pivotArea collapsedLevelsAreSubtotals="1" fieldPosition="0">
        <references count="3">
          <reference field="4294967294" count="1" selected="0">
            <x v="4"/>
          </reference>
          <reference field="4" count="1">
            <x v="2"/>
          </reference>
          <reference field="9" count="1" selected="0">
            <x v="1"/>
          </reference>
        </references>
      </pivotArea>
    </format>
    <format dxfId="82">
      <pivotArea collapsedLevelsAreSubtotals="1" fieldPosition="0">
        <references count="3">
          <reference field="4294967294" count="1" selected="0">
            <x v="4"/>
          </reference>
          <reference field="4" count="1">
            <x v="0"/>
          </reference>
          <reference field="9" count="1" selected="0">
            <x v="4"/>
          </reference>
        </references>
      </pivotArea>
    </format>
    <format dxfId="81">
      <pivotArea collapsedLevelsAreSubtotals="1" fieldPosition="0">
        <references count="3">
          <reference field="4294967294" count="1" selected="0">
            <x v="4"/>
          </reference>
          <reference field="4" count="1">
            <x v="1"/>
          </reference>
          <reference field="9" count="1" selected="0">
            <x v="4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92285-E0A8-4BAC-B164-F99EA134016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4" firstHeaderRow="0" firstDataRow="1" firstDataCol="1"/>
  <pivotFields count="19">
    <pivotField showAll="0"/>
    <pivotField dataField="1" showAll="0"/>
    <pivotField showAll="0"/>
    <pivotField numFmtId="16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showAll="0">
      <items count="11">
        <item x="3"/>
        <item x="5"/>
        <item x="9"/>
        <item x="8"/>
        <item x="0"/>
        <item x="4"/>
        <item x="1"/>
        <item x="6"/>
        <item x="2"/>
        <item x="7"/>
        <item t="default"/>
      </items>
    </pivotField>
    <pivotField showAll="0"/>
    <pivotField showAll="0"/>
    <pivotField numFmtId="165" showAll="0"/>
    <pivotField showAll="0"/>
    <pivotField showAll="0"/>
    <pivotField showAll="0"/>
    <pivotField showAll="0"/>
    <pivotField dataField="1" numFmtId="165" showAll="0"/>
    <pivotField numFmtId="165" showAll="0"/>
    <pivotField numFmtId="166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D Count" fld="1" baseField="0" baseItem="0"/>
    <dataField name="% of Total Movies" fld="1" showDataAs="percentOfCol" baseField="4" baseItem="0" numFmtId="10"/>
    <dataField name="Total Income" fld="12" baseField="0" baseItem="0" numFmtId="165"/>
    <dataField name="% of Total Income" fld="12" showDataAs="percentOfCol" baseField="3" baseItem="0" numFmtId="10"/>
    <dataField name="Average Income" fld="12" subtotal="average" baseField="3" baseItem="0" numFmtId="165"/>
    <dataField name="Density Rating" fld="15" baseField="0" baseItem="0" numFmtId="165"/>
  </dataFields>
  <formats count="4">
    <format dxfId="60">
      <pivotArea outline="0" fieldPosition="0">
        <references count="1">
          <reference field="4294967294" count="1">
            <x v="3"/>
          </reference>
        </references>
      </pivotArea>
    </format>
    <format dxfId="59">
      <pivotArea outline="0" collapsedLevelsAreSubtotals="1" fieldPosition="0"/>
    </format>
    <format dxfId="58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57">
      <pivotArea outline="0" fieldPosition="0">
        <references count="1">
          <reference field="4294967294" count="1">
            <x v="1"/>
          </reference>
        </references>
      </pivotArea>
    </format>
  </formats>
  <conditionalFormats count="6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A8864-CDF1-456F-8397-254C7228A29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0" firstDataRow="1" firstDataCol="1"/>
  <pivotFields count="19">
    <pivotField dataField="1" showAll="0"/>
    <pivotField dataField="1" showAll="0"/>
    <pivotField showAll="0"/>
    <pivotField numFmtId="16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showAll="0"/>
    <pivotField numFmtId="165" showAll="0"/>
    <pivotField showAll="0"/>
    <pivotField axis="axisRow" showAll="0">
      <items count="7">
        <item x="2"/>
        <item x="0"/>
        <item x="3"/>
        <item x="1"/>
        <item x="5"/>
        <item x="4"/>
        <item t="default"/>
      </items>
    </pivotField>
    <pivotField showAll="0"/>
    <pivotField showAll="0"/>
    <pivotField dataField="1" numFmtId="165" showAll="0"/>
    <pivotField numFmtId="165" showAll="0"/>
    <pivotField numFmtId="166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Movies" fld="1" baseField="9" baseItem="0"/>
    <dataField name="% of Total Movies" fld="0" subtotal="count" showDataAs="percentOfCol" baseField="8" baseItem="0" numFmtId="10"/>
    <dataField name="Total Income" fld="12" baseField="0" baseItem="0" numFmtId="165"/>
    <dataField name="% of Total Income" fld="12" showDataAs="percentOfCol" baseField="8" baseItem="0" numFmtId="10"/>
    <dataField name="Density Rating" fld="15" subtotal="count" baseField="8" baseItem="0"/>
  </dataFields>
  <formats count="2">
    <format dxfId="5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4"/>
          </reference>
        </references>
      </pivotArea>
    </format>
  </formats>
  <conditionalFormats count="5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9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9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9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9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45899-4E79-456D-A943-9CDFA9CBC1BD}" name="PivotTable5" cacheId="0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>
  <location ref="A3:F15" firstHeaderRow="0" firstDataRow="1" firstDataCol="1"/>
  <pivotFields count="19">
    <pivotField showAll="0"/>
    <pivotField dataField="1" showAll="0"/>
    <pivotField showAll="0"/>
    <pivotField numFmtId="16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showAll="0">
      <items count="11">
        <item x="3"/>
        <item x="5"/>
        <item x="9"/>
        <item x="8"/>
        <item x="0"/>
        <item x="4"/>
        <item x="1"/>
        <item x="6"/>
        <item x="2"/>
        <item x="7"/>
        <item t="default"/>
      </items>
    </pivotField>
    <pivotField showAll="0"/>
    <pivotField showAll="0"/>
    <pivotField numFmtId="165" showAll="0"/>
    <pivotField showAll="0"/>
    <pivotField axis="axisRow" showAll="0">
      <items count="7">
        <item h="1" x="2"/>
        <item x="0"/>
        <item h="1" x="3"/>
        <item h="1" x="1"/>
        <item x="5"/>
        <item h="1" x="4"/>
        <item t="default"/>
      </items>
    </pivotField>
    <pivotField showAll="0"/>
    <pivotField showAll="0"/>
    <pivotField dataField="1" numFmtId="165" showAll="0"/>
    <pivotField numFmtId="165" showAll="0">
      <items count="101">
        <item x="5"/>
        <item x="1"/>
        <item x="0"/>
        <item x="6"/>
        <item x="87"/>
        <item x="40"/>
        <item x="39"/>
        <item x="15"/>
        <item x="31"/>
        <item x="21"/>
        <item x="13"/>
        <item x="89"/>
        <item x="11"/>
        <item x="18"/>
        <item x="34"/>
        <item x="8"/>
        <item x="62"/>
        <item x="83"/>
        <item x="95"/>
        <item x="79"/>
        <item x="93"/>
        <item x="10"/>
        <item x="35"/>
        <item x="99"/>
        <item x="3"/>
        <item x="4"/>
        <item x="7"/>
        <item x="14"/>
        <item x="98"/>
        <item x="76"/>
        <item x="2"/>
        <item x="12"/>
        <item x="17"/>
        <item x="27"/>
        <item x="55"/>
        <item x="72"/>
        <item x="37"/>
        <item x="38"/>
        <item x="9"/>
        <item x="16"/>
        <item x="73"/>
        <item x="69"/>
        <item x="92"/>
        <item x="24"/>
        <item x="70"/>
        <item x="33"/>
        <item x="86"/>
        <item x="84"/>
        <item x="19"/>
        <item x="65"/>
        <item x="96"/>
        <item x="67"/>
        <item x="26"/>
        <item x="94"/>
        <item x="56"/>
        <item x="97"/>
        <item x="54"/>
        <item x="30"/>
        <item x="29"/>
        <item x="75"/>
        <item x="23"/>
        <item x="44"/>
        <item x="48"/>
        <item x="32"/>
        <item x="52"/>
        <item x="51"/>
        <item x="81"/>
        <item x="43"/>
        <item x="41"/>
        <item x="50"/>
        <item x="59"/>
        <item x="36"/>
        <item x="61"/>
        <item x="22"/>
        <item x="66"/>
        <item x="64"/>
        <item x="28"/>
        <item x="78"/>
        <item x="77"/>
        <item x="45"/>
        <item x="57"/>
        <item x="25"/>
        <item x="82"/>
        <item x="42"/>
        <item x="63"/>
        <item x="90"/>
        <item x="53"/>
        <item x="91"/>
        <item x="71"/>
        <item x="88"/>
        <item x="20"/>
        <item x="74"/>
        <item x="68"/>
        <item x="58"/>
        <item x="46"/>
        <item x="47"/>
        <item x="60"/>
        <item x="85"/>
        <item x="80"/>
        <item x="49"/>
        <item t="default"/>
      </items>
    </pivotField>
    <pivotField numFmtId="166" showAll="0">
      <items count="20">
        <item x="4"/>
        <item x="7"/>
        <item x="3"/>
        <item x="13"/>
        <item x="9"/>
        <item x="15"/>
        <item x="1"/>
        <item x="5"/>
        <item x="14"/>
        <item x="0"/>
        <item x="17"/>
        <item x="16"/>
        <item x="2"/>
        <item x="12"/>
        <item x="8"/>
        <item x="6"/>
        <item x="11"/>
        <item x="10"/>
        <item x="18"/>
        <item t="default"/>
      </items>
    </pivotField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t="default"/>
      </items>
    </pivotField>
  </pivotFields>
  <rowFields count="2">
    <field x="9"/>
    <field x="4"/>
  </rowFields>
  <rowItems count="12">
    <i>
      <x v="1"/>
    </i>
    <i r="1">
      <x v="1"/>
    </i>
    <i r="1">
      <x v="2"/>
    </i>
    <i r="1">
      <x v="4"/>
    </i>
    <i>
      <x v="4"/>
    </i>
    <i r="1">
      <x/>
    </i>
    <i r="1">
      <x v="1"/>
    </i>
    <i r="1">
      <x v="2"/>
    </i>
    <i r="1">
      <x v="4"/>
    </i>
    <i r="1">
      <x v="6"/>
    </i>
    <i r="1"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Movies" fld="1" baseField="9" baseItem="1"/>
    <dataField name="% of Movie Titles" fld="1" showDataAs="percentOfCol" baseField="9" baseItem="4" numFmtId="10"/>
    <dataField name="Total Income" fld="12" baseField="9" baseItem="1" numFmtId="167"/>
    <dataField name="Average Income" fld="12" showDataAs="percentOfCol" baseField="9" baseItem="4" numFmtId="10"/>
    <dataField name="Density" fld="15" baseField="0" baseItem="0" numFmtId="43"/>
  </dataFields>
  <formats count="12">
    <format dxfId="54">
      <pivotArea field="9" type="button" dataOnly="0" labelOnly="1" outline="0" axis="axisRow" fieldPosition="0"/>
    </format>
    <format dxfId="53">
      <pivotArea type="topRight" dataOnly="0" labelOnly="1" outline="0" fieldPosition="0"/>
    </format>
    <format dxfId="52">
      <pivotArea outline="0" collapsedLevelsAreSubtotals="1" fieldPosition="0"/>
    </format>
    <format dxfId="51">
      <pivotArea dataOnly="0" labelOnly="1" outline="0" axis="axisValues" fieldPosition="0"/>
    </format>
    <format dxfId="50">
      <pivotArea outline="0" fieldPosition="0">
        <references count="1">
          <reference field="4294967294" count="1">
            <x v="1"/>
          </reference>
        </references>
      </pivotArea>
    </format>
    <format dxfId="49">
      <pivotArea outline="0" fieldPosition="0">
        <references count="1">
          <reference field="4294967294" count="1">
            <x v="3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6">
      <pivotArea outline="0" collapsedLevelsAreSubtotals="1" fieldPosition="0"/>
    </format>
    <format dxfId="4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E7BC3-04C3-4660-9037-0DF207CD5115}" name="PivotTable8" cacheId="0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 chartFormat="4">
  <location ref="A36:H40" firstHeaderRow="1" firstDataRow="2" firstDataCol="1"/>
  <pivotFields count="19">
    <pivotField showAll="0"/>
    <pivotField showAll="0"/>
    <pivotField showAll="0"/>
    <pivotField numFmtId="16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Col" showAll="0">
      <items count="11">
        <item x="3"/>
        <item x="5"/>
        <item x="9"/>
        <item x="8"/>
        <item x="0"/>
        <item x="4"/>
        <item x="1"/>
        <item x="6"/>
        <item x="2"/>
        <item x="7"/>
        <item t="default"/>
      </items>
    </pivotField>
    <pivotField showAll="0"/>
    <pivotField showAll="0"/>
    <pivotField numFmtId="165" showAll="0"/>
    <pivotField showAll="0"/>
    <pivotField axis="axisRow" showAll="0">
      <items count="7">
        <item h="1" x="2"/>
        <item x="0"/>
        <item h="1" x="3"/>
        <item h="1" x="1"/>
        <item x="5"/>
        <item h="1" x="4"/>
        <item t="default"/>
      </items>
    </pivotField>
    <pivotField showAll="0"/>
    <pivotField showAll="0"/>
    <pivotField numFmtId="165" showAll="0"/>
    <pivotField numFmtId="165" showAll="0">
      <items count="101">
        <item x="5"/>
        <item x="1"/>
        <item x="0"/>
        <item x="6"/>
        <item x="87"/>
        <item x="40"/>
        <item x="39"/>
        <item x="15"/>
        <item x="31"/>
        <item x="21"/>
        <item x="13"/>
        <item x="89"/>
        <item x="11"/>
        <item x="18"/>
        <item x="34"/>
        <item x="8"/>
        <item x="62"/>
        <item x="83"/>
        <item x="95"/>
        <item x="79"/>
        <item x="93"/>
        <item x="10"/>
        <item x="35"/>
        <item x="99"/>
        <item x="3"/>
        <item x="4"/>
        <item x="7"/>
        <item x="14"/>
        <item x="98"/>
        <item x="76"/>
        <item x="2"/>
        <item x="12"/>
        <item x="17"/>
        <item x="27"/>
        <item x="55"/>
        <item x="72"/>
        <item x="37"/>
        <item x="38"/>
        <item x="9"/>
        <item x="16"/>
        <item x="73"/>
        <item x="69"/>
        <item x="92"/>
        <item x="24"/>
        <item x="70"/>
        <item x="33"/>
        <item x="86"/>
        <item x="84"/>
        <item x="19"/>
        <item x="65"/>
        <item x="96"/>
        <item x="67"/>
        <item x="26"/>
        <item x="94"/>
        <item x="56"/>
        <item x="97"/>
        <item x="54"/>
        <item x="30"/>
        <item x="29"/>
        <item x="75"/>
        <item x="23"/>
        <item x="44"/>
        <item x="48"/>
        <item x="32"/>
        <item x="52"/>
        <item x="51"/>
        <item x="81"/>
        <item x="43"/>
        <item x="41"/>
        <item x="50"/>
        <item x="59"/>
        <item x="36"/>
        <item x="61"/>
        <item x="22"/>
        <item x="66"/>
        <item x="64"/>
        <item x="28"/>
        <item x="78"/>
        <item x="77"/>
        <item x="45"/>
        <item x="57"/>
        <item x="25"/>
        <item x="82"/>
        <item x="42"/>
        <item x="63"/>
        <item x="90"/>
        <item x="53"/>
        <item x="91"/>
        <item x="71"/>
        <item x="88"/>
        <item x="20"/>
        <item x="74"/>
        <item x="68"/>
        <item x="58"/>
        <item x="46"/>
        <item x="47"/>
        <item x="60"/>
        <item x="85"/>
        <item x="80"/>
        <item x="49"/>
        <item t="default"/>
      </items>
    </pivotField>
    <pivotField numFmtId="166" showAll="0">
      <items count="20">
        <item x="4"/>
        <item x="7"/>
        <item x="3"/>
        <item x="13"/>
        <item x="9"/>
        <item x="15"/>
        <item x="1"/>
        <item x="5"/>
        <item x="14"/>
        <item x="0"/>
        <item x="17"/>
        <item x="16"/>
        <item x="2"/>
        <item x="12"/>
        <item x="8"/>
        <item x="6"/>
        <item x="11"/>
        <item x="10"/>
        <item x="18"/>
        <item t="default"/>
      </items>
    </pivotField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t="default"/>
      </items>
    </pivotField>
  </pivotFields>
  <rowFields count="1">
    <field x="9"/>
  </rowFields>
  <rowItems count="3">
    <i>
      <x v="1"/>
    </i>
    <i>
      <x v="4"/>
    </i>
    <i t="grand">
      <x/>
    </i>
  </rowItems>
  <colFields count="1">
    <field x="4"/>
  </colFields>
  <colItems count="7">
    <i>
      <x/>
    </i>
    <i>
      <x v="1"/>
    </i>
    <i>
      <x v="2"/>
    </i>
    <i>
      <x v="4"/>
    </i>
    <i>
      <x v="6"/>
    </i>
    <i>
      <x v="9"/>
    </i>
    <i t="grand">
      <x/>
    </i>
  </colItems>
  <dataFields count="1">
    <dataField name="Density" fld="15" baseField="0" baseItem="0" numFmtId="43"/>
  </dataFields>
  <formats count="8">
    <format dxfId="7">
      <pivotArea field="9" type="button" dataOnly="0" labelOnly="1" outline="0" axis="axisRow" fieldPosition="0"/>
    </format>
    <format dxfId="6">
      <pivotArea type="topRight" dataOnly="0" labelOnly="1" outline="0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842A9-0B2B-4D84-830F-AB5B1A6E5150}" name="PivotTable17" cacheId="0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 rowHeaderCaption="Content Rating" colHeaderCaption="Genre">
  <location ref="A51:L59" firstHeaderRow="1" firstDataRow="2" firstDataCol="1"/>
  <pivotFields count="19">
    <pivotField showAll="0"/>
    <pivotField showAll="0"/>
    <pivotField showAll="0"/>
    <pivotField numFmtId="16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Col" showAll="0">
      <items count="11">
        <item x="3"/>
        <item x="5"/>
        <item x="9"/>
        <item x="8"/>
        <item x="0"/>
        <item x="4"/>
        <item x="1"/>
        <item x="6"/>
        <item x="2"/>
        <item x="7"/>
        <item t="default"/>
      </items>
    </pivotField>
    <pivotField showAll="0"/>
    <pivotField showAll="0"/>
    <pivotField numFmtId="165" showAll="0"/>
    <pivotField showAll="0"/>
    <pivotField axis="axisRow" showAll="0">
      <items count="7">
        <item x="2"/>
        <item x="0"/>
        <item x="3"/>
        <item x="1"/>
        <item x="5"/>
        <item x="4"/>
        <item t="default"/>
      </items>
    </pivotField>
    <pivotField showAll="0"/>
    <pivotField showAll="0"/>
    <pivotField numFmtId="165" showAll="0"/>
    <pivotField numFmtId="165" showAll="0">
      <items count="101">
        <item x="5"/>
        <item x="1"/>
        <item x="0"/>
        <item x="6"/>
        <item x="87"/>
        <item x="40"/>
        <item x="39"/>
        <item x="15"/>
        <item x="31"/>
        <item x="21"/>
        <item x="13"/>
        <item x="89"/>
        <item x="11"/>
        <item x="18"/>
        <item x="34"/>
        <item x="8"/>
        <item x="62"/>
        <item x="83"/>
        <item x="95"/>
        <item x="79"/>
        <item x="93"/>
        <item x="10"/>
        <item x="35"/>
        <item x="99"/>
        <item x="3"/>
        <item x="4"/>
        <item x="7"/>
        <item x="14"/>
        <item x="98"/>
        <item x="76"/>
        <item x="2"/>
        <item x="12"/>
        <item x="17"/>
        <item x="27"/>
        <item x="55"/>
        <item x="72"/>
        <item x="37"/>
        <item x="38"/>
        <item x="9"/>
        <item x="16"/>
        <item x="73"/>
        <item x="69"/>
        <item x="92"/>
        <item x="24"/>
        <item x="70"/>
        <item x="33"/>
        <item x="86"/>
        <item x="84"/>
        <item x="19"/>
        <item x="65"/>
        <item x="96"/>
        <item x="67"/>
        <item x="26"/>
        <item x="94"/>
        <item x="56"/>
        <item x="97"/>
        <item x="54"/>
        <item x="30"/>
        <item x="29"/>
        <item x="75"/>
        <item x="23"/>
        <item x="44"/>
        <item x="48"/>
        <item x="32"/>
        <item x="52"/>
        <item x="51"/>
        <item x="81"/>
        <item x="43"/>
        <item x="41"/>
        <item x="50"/>
        <item x="59"/>
        <item x="36"/>
        <item x="61"/>
        <item x="22"/>
        <item x="66"/>
        <item x="64"/>
        <item x="28"/>
        <item x="78"/>
        <item x="77"/>
        <item x="45"/>
        <item x="57"/>
        <item x="25"/>
        <item x="82"/>
        <item x="42"/>
        <item x="63"/>
        <item x="90"/>
        <item x="53"/>
        <item x="91"/>
        <item x="71"/>
        <item x="88"/>
        <item x="20"/>
        <item x="74"/>
        <item x="68"/>
        <item x="58"/>
        <item x="46"/>
        <item x="47"/>
        <item x="60"/>
        <item x="85"/>
        <item x="80"/>
        <item x="49"/>
        <item t="default"/>
      </items>
    </pivotField>
    <pivotField numFmtId="166" showAll="0">
      <items count="20">
        <item x="4"/>
        <item x="7"/>
        <item x="3"/>
        <item x="13"/>
        <item x="9"/>
        <item x="15"/>
        <item x="1"/>
        <item x="5"/>
        <item x="14"/>
        <item x="0"/>
        <item x="17"/>
        <item x="16"/>
        <item x="2"/>
        <item x="12"/>
        <item x="8"/>
        <item x="6"/>
        <item x="11"/>
        <item x="10"/>
        <item x="18"/>
        <item t="default"/>
      </items>
    </pivotField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." fld="15" baseField="0" baseItem="0" numFmtId="43"/>
  </dataFields>
  <formats count="15">
    <format dxfId="22">
      <pivotArea type="topRight" dataOnly="0" labelOnly="1" outline="0" fieldPosition="0"/>
    </format>
    <format dxfId="21">
      <pivotArea outline="0" collapsedLevelsAreSubtotals="1" fieldPosition="0"/>
    </format>
    <format dxfId="20">
      <pivotArea dataOnly="0" labelOnly="1" outline="0" axis="axisValues" fieldPosition="0"/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collapsedLevelsAreSubtotals="1" fieldPosition="0">
        <references count="3">
          <reference field="4294967294" count="1" selected="0">
            <x v="0"/>
          </reference>
          <reference field="4" count="1">
            <x v="2"/>
          </reference>
          <reference field="9" count="1" selected="0">
            <x v="1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0"/>
          </reference>
          <reference field="4" count="1">
            <x v="0"/>
          </reference>
          <reference field="9" count="1" selected="0">
            <x v="4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0"/>
          </reference>
          <reference field="4" count="1">
            <x v="1"/>
          </reference>
          <reference field="9" count="1" selected="0">
            <x v="4"/>
          </reference>
        </references>
      </pivotArea>
    </format>
    <format dxfId="13">
      <pivotArea outline="0" collapsedLevelsAreSubtotals="1" fieldPosition="0"/>
    </format>
    <format dxfId="12">
      <pivotArea dataOnly="0" labelOnly="1" fieldPosition="0">
        <references count="1">
          <reference field="4" count="0"/>
        </references>
      </pivotArea>
    </format>
    <format dxfId="11">
      <pivotArea dataOnly="0" labelOnly="1" grandCol="1" outline="0" fieldPosition="0"/>
    </format>
    <format dxfId="10">
      <pivotArea type="origin" dataOnly="0" labelOnly="1" outline="0" fieldPosition="0"/>
    </format>
    <format dxfId="9">
      <pivotArea field="4" type="button" dataOnly="0" labelOnly="1" outline="0" axis="axisCol" fieldPosition="0"/>
    </format>
    <format dxfId="8">
      <pivotArea field="9" type="button" dataOnly="0" labelOnly="1" outline="0" axis="axisRow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DA9DA-75C3-4BFE-9C0A-206EBEACAFE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21:B28" firstHeaderRow="1" firstDataRow="1" firstDataCol="1"/>
  <pivotFields count="19">
    <pivotField showAll="0"/>
    <pivotField showAll="0"/>
    <pivotField showAll="0"/>
    <pivotField numFmtId="16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>
      <items count="11">
        <item x="3"/>
        <item x="5"/>
        <item x="9"/>
        <item x="8"/>
        <item x="0"/>
        <item x="4"/>
        <item x="1"/>
        <item x="6"/>
        <item x="2"/>
        <item x="7"/>
        <item t="default"/>
      </items>
    </pivotField>
    <pivotField showAll="0"/>
    <pivotField showAll="0"/>
    <pivotField numFmtId="165" showAll="0"/>
    <pivotField showAll="0"/>
    <pivotField axis="axisRow" showAll="0" sortType="ascending">
      <items count="7">
        <item x="2"/>
        <item x="0"/>
        <item x="3"/>
        <item x="1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numFmtId="165" showAll="0"/>
    <pivotField numFmtId="166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</pivotFields>
  <rowFields count="1">
    <field x="9"/>
  </rowFields>
  <rowItems count="7">
    <i>
      <x v="2"/>
    </i>
    <i>
      <x/>
    </i>
    <i>
      <x v="5"/>
    </i>
    <i>
      <x v="3"/>
    </i>
    <i>
      <x v="1"/>
    </i>
    <i>
      <x v="4"/>
    </i>
    <i t="grand">
      <x/>
    </i>
  </rowItems>
  <colItems count="1">
    <i/>
  </colItems>
  <dataFields count="1">
    <dataField name="Density Rating" fld="15" baseField="0" baseItem="0" numFmtId="165"/>
  </dataFields>
  <formats count="2">
    <format dxfId="24">
      <pivotArea outline="0" collapsedLevelsAreSubtotals="1" fieldPosition="0"/>
    </format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BF933-2625-472A-B075-2FAB0A393EE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4" firstHeaderRow="1" firstDataRow="1" firstDataCol="1"/>
  <pivotFields count="19">
    <pivotField showAll="0"/>
    <pivotField showAll="0"/>
    <pivotField showAll="0"/>
    <pivotField numFmtId="16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showAll="0" sortType="descending">
      <items count="11">
        <item x="7"/>
        <item x="2"/>
        <item x="6"/>
        <item x="1"/>
        <item x="4"/>
        <item x="0"/>
        <item x="8"/>
        <item x="9"/>
        <item x="5"/>
        <item x="3"/>
        <item t="default"/>
      </items>
    </pivotField>
    <pivotField showAll="0"/>
    <pivotField showAll="0"/>
    <pivotField numFmtId="165" showAll="0"/>
    <pivotField showAll="0"/>
    <pivotField showAll="0"/>
    <pivotField showAll="0"/>
    <pivotField showAll="0"/>
    <pivotField numFmtId="165" showAll="0"/>
    <pivotField numFmtId="165" showAll="0"/>
    <pivotField numFmtId="166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Density Rating" fld="15" baseField="0" baseItem="0" numFmtId="43"/>
  </dataFields>
  <formats count="4">
    <format dxfId="28">
      <pivotArea outline="0" collapsedLevelsAreSubtotals="1" fieldPosition="0"/>
    </format>
    <format dxfId="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">
      <pivotArea outline="0" collapsedLevelsAreSubtotals="1" fieldPosition="0"/>
    </format>
    <format dxfId="25">
      <pivotArea dataOnly="0" labelOnly="1" outline="0" axis="axisValues" fieldPosition="0"/>
    </format>
  </format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83E7591-B99E-4882-A33A-9F4BE4383D7B}" autoFormatId="16" applyNumberFormats="0" applyBorderFormats="0" applyFontFormats="0" applyPatternFormats="0" applyAlignmentFormats="0" applyWidthHeightFormats="0">
  <queryTableRefresh nextId="23">
    <queryTableFields count="15">
      <queryTableField id="1" name="IMBD title ID" tableColumnId="1"/>
      <queryTableField id="22" dataBound="0" tableColumnId="9"/>
      <queryTableField id="2" name="Original titl�" tableColumnId="2"/>
      <queryTableField id="3" name="Release year" tableColumnId="3"/>
      <queryTableField id="4" name="Genr�" tableColumnId="4"/>
      <queryTableField id="17" dataBound="0" tableColumnId="17"/>
      <queryTableField id="16" dataBound="0" tableColumnId="16"/>
      <queryTableField id="5" name="Duration" tableColumnId="5"/>
      <queryTableField id="6" name="Country" tableColumnId="6"/>
      <queryTableField id="7" name="Content Rating" tableColumnId="7"/>
      <queryTableField id="8" name="Director" tableColumnId="8"/>
      <queryTableField id="18" dataBound="0" tableColumnId="18"/>
      <queryTableField id="10" name="Income" tableColumnId="10"/>
      <queryTableField id="11" name=" Votes " tableColumnId="11"/>
      <queryTableField id="12" name="Score" tableColumnId="12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9F33F1-1260-4F63-8852-9031673A708C}" name="messy_IMDB_dataset3" displayName="messy_IMDB_dataset3" ref="A1:O101" tableType="queryTable" totalsRowShown="0">
  <autoFilter ref="A1:O101" xr:uid="{2D9F33F1-1260-4F63-8852-9031673A708C}"/>
  <sortState xmlns:xlrd2="http://schemas.microsoft.com/office/spreadsheetml/2017/richdata2" ref="A2:O101">
    <sortCondition ref="D1:D101"/>
  </sortState>
  <tableColumns count="15">
    <tableColumn id="1" xr3:uid="{055D5C47-EB6E-43EC-9B4A-904623A54D36}" uniqueName="1" name="IMBD title ID" queryTableFieldId="1" dataDxfId="42"/>
    <tableColumn id="9" xr3:uid="{E1F8D601-2948-42C6-94BC-81A67B46E11C}" uniqueName="9" name="ID Count" queryTableFieldId="22"/>
    <tableColumn id="2" xr3:uid="{3C24CF0A-F87D-4028-B922-39CCAB702F98}" uniqueName="2" name="Original title" queryTableFieldId="2" dataDxfId="41"/>
    <tableColumn id="3" xr3:uid="{1BE43C89-F71D-4089-9B7A-451D1F5BC3AB}" uniqueName="3" name="Release year" queryTableFieldId="3" dataDxfId="40"/>
    <tableColumn id="4" xr3:uid="{9E21506A-30D2-4C84-8F46-2DF75FDFCC98}" uniqueName="4" name="Genre1" queryTableFieldId="4" dataDxfId="39"/>
    <tableColumn id="17" xr3:uid="{7D96506F-69AE-4996-9102-2E917EBAEAB3}" uniqueName="17" name="Genre2" queryTableFieldId="17" dataDxfId="38"/>
    <tableColumn id="16" xr3:uid="{D9226AB5-A8AD-4D77-83A4-6D47511A1506}" uniqueName="16" name="Genre3" queryTableFieldId="16" dataDxfId="37"/>
    <tableColumn id="5" xr3:uid="{0094754C-9798-4479-A162-514C63567547}" uniqueName="5" name="Duration" queryTableFieldId="5" dataDxfId="36" dataCellStyle="Comma"/>
    <tableColumn id="6" xr3:uid="{34E662F4-9975-4B7C-8E60-08ADD4B4D5C6}" uniqueName="6" name="Country" queryTableFieldId="6" dataDxfId="35"/>
    <tableColumn id="7" xr3:uid="{EBF17D39-5577-489F-B24E-C089E9A6852E}" uniqueName="7" name="Content Rating" queryTableFieldId="7" dataDxfId="34"/>
    <tableColumn id="8" xr3:uid="{4961D351-F08D-4758-9F7D-81D14099E112}" uniqueName="8" name="Director1" queryTableFieldId="8" dataDxfId="33"/>
    <tableColumn id="18" xr3:uid="{0D525D5D-A468-4038-ADD6-AA94736B0047}" uniqueName="18" name="Director2" queryTableFieldId="18" dataDxfId="32"/>
    <tableColumn id="10" xr3:uid="{66123C37-2057-4473-9259-6FC58B0CC17B}" uniqueName="10" name="Income" queryTableFieldId="10" dataDxfId="31" dataCellStyle="Comma"/>
    <tableColumn id="11" xr3:uid="{B5DD6473-48BF-4716-AACE-903A3423887D}" uniqueName="11" name="Votes" queryTableFieldId="11" dataDxfId="30" dataCellStyle="Comma"/>
    <tableColumn id="12" xr3:uid="{1AD85F62-4212-417B-9838-BB5E503320C0}" uniqueName="12" name="Score" queryTableFieldId="12" dataDxfId="29" dataCellStyle="Comma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7337-B06D-41B1-9F6D-FB82F0E74D1F}">
  <sheetPr>
    <tabColor theme="7" tint="0.79998168889431442"/>
  </sheetPr>
  <dimension ref="A1:R78"/>
  <sheetViews>
    <sheetView tabSelected="1" topLeftCell="A25" zoomScale="115" zoomScaleNormal="115" workbookViewId="0">
      <selection activeCell="H41" sqref="H41"/>
    </sheetView>
  </sheetViews>
  <sheetFormatPr defaultRowHeight="15" x14ac:dyDescent="0.25"/>
  <cols>
    <col min="1" max="1" width="4.7109375" customWidth="1"/>
    <col min="2" max="2" width="13.42578125" bestFit="1" customWidth="1"/>
    <col min="3" max="3" width="12.28515625" bestFit="1" customWidth="1"/>
    <col min="4" max="5" width="16.7109375" bestFit="1" customWidth="1"/>
    <col min="6" max="6" width="17" bestFit="1" customWidth="1"/>
    <col min="7" max="7" width="14.28515625" bestFit="1" customWidth="1"/>
    <col min="8" max="8" width="15" bestFit="1" customWidth="1"/>
    <col min="10" max="10" width="13.42578125" bestFit="1" customWidth="1"/>
    <col min="11" max="11" width="12.28515625" bestFit="1" customWidth="1"/>
    <col min="12" max="12" width="16.7109375" bestFit="1" customWidth="1"/>
    <col min="13" max="13" width="15.85546875" bestFit="1" customWidth="1"/>
    <col min="14" max="14" width="17" bestFit="1" customWidth="1"/>
    <col min="15" max="15" width="15.7109375" bestFit="1" customWidth="1"/>
  </cols>
  <sheetData>
    <row r="1" spans="1:1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x14ac:dyDescent="0.25">
      <c r="A10" s="17"/>
      <c r="B10" s="4" t="s">
        <v>329</v>
      </c>
      <c r="C10" s="4" t="s">
        <v>336</v>
      </c>
      <c r="D10" t="s">
        <v>334</v>
      </c>
      <c r="E10" s="6" t="s">
        <v>331</v>
      </c>
      <c r="F10" s="6" t="s">
        <v>333</v>
      </c>
      <c r="G10" s="6" t="s">
        <v>332</v>
      </c>
      <c r="H10" s="11" t="s">
        <v>339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x14ac:dyDescent="0.25">
      <c r="A11" s="17"/>
      <c r="B11" s="3" t="s">
        <v>55</v>
      </c>
      <c r="C11" s="6">
        <v>19</v>
      </c>
      <c r="D11" s="9">
        <v>0.19</v>
      </c>
      <c r="E11" s="7">
        <v>14592708037</v>
      </c>
      <c r="F11" s="9">
        <v>0.48784568586412108</v>
      </c>
      <c r="G11" s="7">
        <v>768037265.10526311</v>
      </c>
      <c r="H11" s="11">
        <v>2.5676088729690583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x14ac:dyDescent="0.25">
      <c r="A12" s="17"/>
      <c r="B12" s="3" t="s">
        <v>68</v>
      </c>
      <c r="C12" s="6">
        <v>7</v>
      </c>
      <c r="D12" s="9">
        <v>7.0000000000000007E-2</v>
      </c>
      <c r="E12" s="7">
        <v>1533233972</v>
      </c>
      <c r="F12" s="9">
        <v>5.1257215368387662E-2</v>
      </c>
      <c r="G12" s="7">
        <v>219033424.57142857</v>
      </c>
      <c r="H12" s="11">
        <v>0.73224593383410941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x14ac:dyDescent="0.25">
      <c r="A13" s="17"/>
      <c r="B13" s="3" t="s">
        <v>154</v>
      </c>
      <c r="C13" s="6">
        <v>9</v>
      </c>
      <c r="D13" s="9">
        <v>0.09</v>
      </c>
      <c r="E13" s="7">
        <v>4669452954</v>
      </c>
      <c r="F13" s="9">
        <v>0.15610347806442421</v>
      </c>
      <c r="G13" s="7">
        <v>518828106</v>
      </c>
      <c r="H13" s="11">
        <v>1.7344830896047134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x14ac:dyDescent="0.25">
      <c r="A14" s="17"/>
      <c r="B14" s="3" t="s">
        <v>142</v>
      </c>
      <c r="C14" s="6">
        <v>6</v>
      </c>
      <c r="D14" s="9">
        <v>0.06</v>
      </c>
      <c r="E14" s="7">
        <v>1181111521</v>
      </c>
      <c r="F14" s="9">
        <v>3.9485485393341471E-2</v>
      </c>
      <c r="G14" s="7">
        <v>196851920.16666666</v>
      </c>
      <c r="H14" s="11">
        <v>0.65809142322235792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x14ac:dyDescent="0.25">
      <c r="A15" s="17"/>
      <c r="B15" s="3" t="s">
        <v>16</v>
      </c>
      <c r="C15" s="6">
        <v>10</v>
      </c>
      <c r="D15" s="9">
        <v>0.1</v>
      </c>
      <c r="E15" s="7">
        <v>974184740</v>
      </c>
      <c r="F15" s="9">
        <v>3.2567760654064574E-2</v>
      </c>
      <c r="G15" s="7">
        <v>97418474</v>
      </c>
      <c r="H15" s="11">
        <v>0.3256776065406457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x14ac:dyDescent="0.25">
      <c r="A16" s="17"/>
      <c r="B16" s="3" t="s">
        <v>62</v>
      </c>
      <c r="C16" s="6">
        <v>16</v>
      </c>
      <c r="D16" s="9">
        <v>0.16</v>
      </c>
      <c r="E16" s="7">
        <v>3313347867</v>
      </c>
      <c r="F16" s="9">
        <v>0.11076782037882402</v>
      </c>
      <c r="G16" s="7">
        <v>207084241.6875</v>
      </c>
      <c r="H16" s="11">
        <v>0.69229887736765006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x14ac:dyDescent="0.25">
      <c r="A17" s="17"/>
      <c r="B17" s="3" t="s">
        <v>27</v>
      </c>
      <c r="C17" s="6">
        <v>25</v>
      </c>
      <c r="D17" s="9">
        <v>0.25</v>
      </c>
      <c r="E17" s="7">
        <v>3383226859</v>
      </c>
      <c r="F17" s="9">
        <v>0.1131039299407571</v>
      </c>
      <c r="G17" s="7">
        <v>135329074.36000001</v>
      </c>
      <c r="H17" s="11">
        <v>0.45241571976302841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x14ac:dyDescent="0.25">
      <c r="A18" s="17"/>
      <c r="B18" s="3" t="s">
        <v>71</v>
      </c>
      <c r="C18" s="6">
        <v>2</v>
      </c>
      <c r="D18" s="9">
        <v>0.02</v>
      </c>
      <c r="E18" s="7">
        <v>140118960</v>
      </c>
      <c r="F18" s="9">
        <v>4.684286834934868E-3</v>
      </c>
      <c r="G18" s="7">
        <v>70059480</v>
      </c>
      <c r="H18" s="11">
        <v>0.23421434174674338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x14ac:dyDescent="0.25">
      <c r="A19" s="17"/>
      <c r="B19" s="3" t="s">
        <v>50</v>
      </c>
      <c r="C19" s="6">
        <v>3</v>
      </c>
      <c r="D19" s="9">
        <v>0.03</v>
      </c>
      <c r="E19" s="7">
        <v>84798809</v>
      </c>
      <c r="F19" s="9">
        <v>2.8348907572312587E-3</v>
      </c>
      <c r="G19" s="7">
        <v>28266269.666666668</v>
      </c>
      <c r="H19" s="11">
        <v>9.4496358574375286E-2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x14ac:dyDescent="0.25">
      <c r="A20" s="17"/>
      <c r="B20" s="3" t="s">
        <v>83</v>
      </c>
      <c r="C20" s="6">
        <v>3</v>
      </c>
      <c r="D20" s="9">
        <v>0.03</v>
      </c>
      <c r="E20" s="7">
        <v>40365392</v>
      </c>
      <c r="F20" s="9">
        <v>1.3494467439137804E-3</v>
      </c>
      <c r="G20" s="7">
        <v>13455130.666666666</v>
      </c>
      <c r="H20" s="11">
        <v>4.498155813045935E-2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x14ac:dyDescent="0.25">
      <c r="A21" s="17"/>
      <c r="B21" s="3" t="s">
        <v>330</v>
      </c>
      <c r="C21" s="6">
        <v>100</v>
      </c>
      <c r="D21" s="9">
        <v>1</v>
      </c>
      <c r="E21" s="7">
        <v>29912549111</v>
      </c>
      <c r="F21" s="9">
        <v>1</v>
      </c>
      <c r="G21" s="7">
        <v>299125491.11000001</v>
      </c>
      <c r="H21" s="11">
        <v>1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pans="1:18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spans="1:18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spans="1:18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spans="1:18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</row>
    <row r="29" spans="1:18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spans="1:18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</row>
    <row r="31" spans="1:18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spans="1:18" x14ac:dyDescent="0.25">
      <c r="A32" s="17"/>
      <c r="B32" s="4" t="s">
        <v>329</v>
      </c>
      <c r="C32" t="s">
        <v>337</v>
      </c>
      <c r="D32" t="s">
        <v>334</v>
      </c>
      <c r="E32" t="s">
        <v>331</v>
      </c>
      <c r="F32" t="s">
        <v>333</v>
      </c>
      <c r="G32" s="6" t="s">
        <v>339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 spans="1:18" x14ac:dyDescent="0.25">
      <c r="A33" s="17"/>
      <c r="B33" s="3" t="s">
        <v>93</v>
      </c>
      <c r="C33">
        <v>16</v>
      </c>
      <c r="D33" s="8">
        <v>0.16</v>
      </c>
      <c r="E33" s="5">
        <v>12751800552</v>
      </c>
      <c r="F33" s="8">
        <v>0.42630270341321963</v>
      </c>
      <c r="G33" s="40">
        <v>2.6643918963326225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spans="1:18" x14ac:dyDescent="0.25">
      <c r="A34" s="17"/>
      <c r="B34" s="3" t="s">
        <v>20</v>
      </c>
      <c r="C34">
        <v>8</v>
      </c>
      <c r="D34" s="8">
        <v>0.08</v>
      </c>
      <c r="E34" s="5">
        <v>3033340102</v>
      </c>
      <c r="F34" s="8">
        <v>0.10140694097129033</v>
      </c>
      <c r="G34" s="40">
        <v>1.267586762141129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</row>
    <row r="35" spans="1:18" x14ac:dyDescent="0.25">
      <c r="A35" s="17"/>
      <c r="B35" s="3" t="s">
        <v>29</v>
      </c>
      <c r="C35">
        <v>17</v>
      </c>
      <c r="D35" s="8">
        <v>0.17</v>
      </c>
      <c r="E35" s="5">
        <v>4399290343</v>
      </c>
      <c r="F35" s="8">
        <v>0.14707172988417128</v>
      </c>
      <c r="G35" s="40">
        <v>0.86512782284806622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spans="1:18" x14ac:dyDescent="0.25">
      <c r="A36" s="17"/>
      <c r="B36" s="3" t="s">
        <v>72</v>
      </c>
      <c r="C36">
        <v>53</v>
      </c>
      <c r="D36" s="8">
        <v>0.53</v>
      </c>
      <c r="E36" s="5">
        <v>9701652231</v>
      </c>
      <c r="F36" s="8">
        <v>0.32433385048525765</v>
      </c>
      <c r="G36" s="40">
        <v>0.61195066129293896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7" spans="1:18" x14ac:dyDescent="0.25">
      <c r="A37" s="17"/>
      <c r="B37" s="3" t="s">
        <v>42</v>
      </c>
      <c r="C37">
        <v>3</v>
      </c>
      <c r="D37" s="8">
        <v>0.03</v>
      </c>
      <c r="E37" s="5">
        <v>25625572</v>
      </c>
      <c r="F37" s="8">
        <v>8.5668298963449045E-4</v>
      </c>
      <c r="G37" s="40">
        <v>2.8556099654483018E-2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spans="1:18" x14ac:dyDescent="0.25">
      <c r="A38" s="17"/>
      <c r="B38" s="3" t="s">
        <v>58</v>
      </c>
      <c r="C38">
        <v>3</v>
      </c>
      <c r="D38" s="8">
        <v>0.03</v>
      </c>
      <c r="E38" s="5">
        <v>840311</v>
      </c>
      <c r="F38" s="8">
        <v>2.8092256426617456E-5</v>
      </c>
      <c r="G38" s="40">
        <v>9.364085475539152E-4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</row>
    <row r="39" spans="1:18" x14ac:dyDescent="0.25">
      <c r="A39" s="17"/>
      <c r="B39" s="3" t="s">
        <v>330</v>
      </c>
      <c r="C39">
        <v>100</v>
      </c>
      <c r="D39" s="8">
        <v>1</v>
      </c>
      <c r="E39" s="5">
        <v>29912549111</v>
      </c>
      <c r="F39" s="8">
        <v>1</v>
      </c>
      <c r="G39" s="6">
        <v>1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</row>
    <row r="40" spans="1:18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</row>
    <row r="41" spans="1:18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spans="1:18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</row>
    <row r="43" spans="1:18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 spans="1:18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</row>
    <row r="45" spans="1:18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</row>
    <row r="46" spans="1:18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</row>
    <row r="47" spans="1:18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 spans="1:18" x14ac:dyDescent="0.25">
      <c r="A48" s="17"/>
      <c r="B48" s="12" t="s">
        <v>329</v>
      </c>
      <c r="C48" s="12" t="s">
        <v>337</v>
      </c>
      <c r="D48" s="6" t="s">
        <v>341</v>
      </c>
      <c r="E48" s="16" t="s">
        <v>331</v>
      </c>
      <c r="F48" s="6" t="s">
        <v>332</v>
      </c>
      <c r="G48" s="11" t="s">
        <v>338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</row>
    <row r="49" spans="1:18" x14ac:dyDescent="0.25">
      <c r="A49" s="17"/>
      <c r="B49" s="3" t="s">
        <v>20</v>
      </c>
      <c r="C49" s="14">
        <v>8</v>
      </c>
      <c r="D49" s="9">
        <v>0.33333333333333331</v>
      </c>
      <c r="E49" s="16">
        <v>3033340102</v>
      </c>
      <c r="F49" s="9">
        <v>0.19216427452176948</v>
      </c>
      <c r="G49" s="11">
        <v>1.267586762141129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</row>
    <row r="50" spans="1:18" x14ac:dyDescent="0.25">
      <c r="A50" s="17"/>
      <c r="B50" s="15" t="s">
        <v>68</v>
      </c>
      <c r="C50" s="14">
        <v>1</v>
      </c>
      <c r="D50" s="9">
        <v>4.1666666666666664E-2</v>
      </c>
      <c r="E50" s="16">
        <v>68989547</v>
      </c>
      <c r="F50" s="9">
        <v>4.3705373624604261E-3</v>
      </c>
      <c r="G50" s="11">
        <v>0.23063747173132051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</row>
    <row r="51" spans="1:18" x14ac:dyDescent="0.25">
      <c r="A51" s="17"/>
      <c r="B51" s="15" t="s">
        <v>154</v>
      </c>
      <c r="C51" s="14">
        <v>4</v>
      </c>
      <c r="D51" s="9">
        <v>0.16666666666666666</v>
      </c>
      <c r="E51" s="16">
        <v>2961058806</v>
      </c>
      <c r="F51" s="9">
        <v>0.18758520249546584</v>
      </c>
      <c r="G51" s="18">
        <v>2.4747630125169642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</row>
    <row r="52" spans="1:18" x14ac:dyDescent="0.25">
      <c r="A52" s="17"/>
      <c r="B52" s="15" t="s">
        <v>16</v>
      </c>
      <c r="C52" s="14">
        <v>3</v>
      </c>
      <c r="D52" s="9">
        <v>0.125</v>
      </c>
      <c r="E52" s="16">
        <v>3291749</v>
      </c>
      <c r="F52" s="9">
        <v>2.0853466384323041E-4</v>
      </c>
      <c r="G52" s="11">
        <v>3.6681917766184817E-3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</row>
    <row r="53" spans="1:18" x14ac:dyDescent="0.25">
      <c r="A53" s="17"/>
      <c r="B53" s="3" t="s">
        <v>93</v>
      </c>
      <c r="C53" s="14">
        <v>16</v>
      </c>
      <c r="D53" s="9">
        <v>0.66666666666666663</v>
      </c>
      <c r="E53" s="16">
        <v>12751800552</v>
      </c>
      <c r="F53" s="9">
        <v>0.80783572547823046</v>
      </c>
      <c r="G53" s="11">
        <v>2.6643918963326225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</row>
    <row r="54" spans="1:18" x14ac:dyDescent="0.25">
      <c r="A54" s="17"/>
      <c r="B54" s="15" t="s">
        <v>55</v>
      </c>
      <c r="C54" s="14">
        <v>8</v>
      </c>
      <c r="D54" s="9">
        <v>0.33333333333333331</v>
      </c>
      <c r="E54" s="16">
        <v>10783966528</v>
      </c>
      <c r="F54" s="9">
        <v>0.68317202642520081</v>
      </c>
      <c r="G54" s="18">
        <v>4.5064558389785967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</row>
    <row r="55" spans="1:18" x14ac:dyDescent="0.25">
      <c r="A55" s="17"/>
      <c r="B55" s="15" t="s">
        <v>68</v>
      </c>
      <c r="C55" s="14">
        <v>1</v>
      </c>
      <c r="D55" s="9">
        <v>4.1666666666666664E-2</v>
      </c>
      <c r="E55" s="16">
        <v>696742056</v>
      </c>
      <c r="F55" s="9">
        <v>4.4139109766085205E-2</v>
      </c>
      <c r="G55" s="18">
        <v>2.3292633918109673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</row>
    <row r="56" spans="1:18" x14ac:dyDescent="0.25">
      <c r="A56" s="17"/>
      <c r="B56" s="15" t="s">
        <v>154</v>
      </c>
      <c r="C56" s="14">
        <v>1</v>
      </c>
      <c r="D56" s="9">
        <v>4.1666666666666664E-2</v>
      </c>
      <c r="E56" s="16">
        <v>169785629</v>
      </c>
      <c r="F56" s="9">
        <v>1.0756041566026581E-2</v>
      </c>
      <c r="G56" s="11">
        <v>0.5676066869792894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</row>
    <row r="57" spans="1:18" x14ac:dyDescent="0.25">
      <c r="A57" s="17"/>
      <c r="B57" s="15" t="s">
        <v>16</v>
      </c>
      <c r="C57" s="14">
        <v>2</v>
      </c>
      <c r="D57" s="9">
        <v>8.3333333333333329E-2</v>
      </c>
      <c r="E57" s="16">
        <v>290361589</v>
      </c>
      <c r="F57" s="9">
        <v>1.8394615250160697E-2</v>
      </c>
      <c r="G57" s="11">
        <v>0.48535079361260924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</row>
    <row r="58" spans="1:18" x14ac:dyDescent="0.25">
      <c r="A58" s="17"/>
      <c r="B58" s="15" t="s">
        <v>27</v>
      </c>
      <c r="C58" s="14">
        <v>3</v>
      </c>
      <c r="D58" s="9">
        <v>0.125</v>
      </c>
      <c r="E58" s="16">
        <v>810831839</v>
      </c>
      <c r="F58" s="9">
        <v>5.1366779477795332E-2</v>
      </c>
      <c r="G58" s="11">
        <v>0.90355816438016401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</row>
    <row r="59" spans="1:18" x14ac:dyDescent="0.25">
      <c r="A59" s="17"/>
      <c r="B59" s="15" t="s">
        <v>83</v>
      </c>
      <c r="C59" s="14">
        <v>1</v>
      </c>
      <c r="D59" s="9">
        <v>4.1666666666666664E-2</v>
      </c>
      <c r="E59" s="16">
        <v>112911</v>
      </c>
      <c r="F59" s="9">
        <v>7.1529929618579632E-6</v>
      </c>
      <c r="G59" s="11">
        <v>3.7747033721869679E-4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</row>
    <row r="60" spans="1:18" x14ac:dyDescent="0.25">
      <c r="A60" s="17"/>
      <c r="B60" s="3" t="s">
        <v>330</v>
      </c>
      <c r="C60" s="14">
        <v>24</v>
      </c>
      <c r="D60" s="9">
        <v>1</v>
      </c>
      <c r="E60" s="16">
        <v>15785140654</v>
      </c>
      <c r="F60" s="9">
        <v>1</v>
      </c>
      <c r="G60" s="11">
        <v>2.1987901849354583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</row>
    <row r="61" spans="1:18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</row>
    <row r="62" spans="1:18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</row>
    <row r="63" spans="1:18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</row>
    <row r="64" spans="1:18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</row>
    <row r="65" spans="1:18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</row>
    <row r="66" spans="1:18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</row>
    <row r="67" spans="1:18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</row>
    <row r="68" spans="1:18" x14ac:dyDescent="0.25">
      <c r="A68" s="17"/>
      <c r="B68" s="4" t="s">
        <v>338</v>
      </c>
      <c r="C68" s="4" t="s">
        <v>342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17"/>
      <c r="O68" s="17"/>
      <c r="P68" s="17"/>
      <c r="Q68" s="17"/>
      <c r="R68" s="17"/>
    </row>
    <row r="69" spans="1:18" x14ac:dyDescent="0.25">
      <c r="A69" s="17"/>
      <c r="B69" s="21" t="s">
        <v>8</v>
      </c>
      <c r="C69" s="22" t="s">
        <v>55</v>
      </c>
      <c r="D69" s="22" t="s">
        <v>68</v>
      </c>
      <c r="E69" s="22" t="s">
        <v>154</v>
      </c>
      <c r="F69" s="22" t="s">
        <v>142</v>
      </c>
      <c r="G69" s="22" t="s">
        <v>16</v>
      </c>
      <c r="H69" s="22" t="s">
        <v>62</v>
      </c>
      <c r="I69" s="22" t="s">
        <v>27</v>
      </c>
      <c r="J69" s="22" t="s">
        <v>71</v>
      </c>
      <c r="K69" s="22" t="s">
        <v>50</v>
      </c>
      <c r="L69" s="22" t="s">
        <v>83</v>
      </c>
      <c r="M69" s="22" t="s">
        <v>330</v>
      </c>
      <c r="N69" s="17"/>
      <c r="O69" s="17"/>
      <c r="P69" s="17"/>
      <c r="Q69" s="17"/>
      <c r="R69" s="17"/>
    </row>
    <row r="70" spans="1:18" x14ac:dyDescent="0.25">
      <c r="A70" s="17"/>
      <c r="B70" s="3" t="s">
        <v>42</v>
      </c>
      <c r="C70" s="13"/>
      <c r="D70" s="13">
        <v>2.4553574396971424E-4</v>
      </c>
      <c r="E70" s="13"/>
      <c r="F70" s="13"/>
      <c r="G70" s="13"/>
      <c r="H70" s="13"/>
      <c r="I70" s="13">
        <v>1.0017367590039626E-3</v>
      </c>
      <c r="J70" s="13"/>
      <c r="K70" s="13"/>
      <c r="L70" s="13">
        <v>8.4421026460475362E-2</v>
      </c>
      <c r="M70" s="13">
        <v>2.8556099654483018E-2</v>
      </c>
      <c r="N70" s="17"/>
      <c r="O70" s="17"/>
      <c r="P70" s="17"/>
      <c r="Q70" s="17"/>
      <c r="R70" s="17"/>
    </row>
    <row r="71" spans="1:18" x14ac:dyDescent="0.25">
      <c r="A71" s="17"/>
      <c r="B71" s="3" t="s">
        <v>20</v>
      </c>
      <c r="C71" s="13"/>
      <c r="D71" s="13">
        <v>0.23063747173132051</v>
      </c>
      <c r="E71" s="20">
        <v>2.4747630125169642</v>
      </c>
      <c r="F71" s="13"/>
      <c r="G71" s="13">
        <v>3.6681917766184817E-3</v>
      </c>
      <c r="H71" s="13"/>
      <c r="I71" s="13"/>
      <c r="J71" s="13"/>
      <c r="K71" s="13"/>
      <c r="L71" s="13"/>
      <c r="M71" s="13">
        <v>1.267586762141129</v>
      </c>
      <c r="N71" s="17"/>
      <c r="O71" s="17"/>
      <c r="P71" s="17"/>
      <c r="Q71" s="17"/>
      <c r="R71" s="17"/>
    </row>
    <row r="72" spans="1:18" x14ac:dyDescent="0.25">
      <c r="A72" s="17"/>
      <c r="B72" s="3" t="s">
        <v>58</v>
      </c>
      <c r="C72" s="13">
        <v>1.0790554786964106E-3</v>
      </c>
      <c r="D72" s="13"/>
      <c r="E72" s="13">
        <v>1.7282445507457373E-3</v>
      </c>
      <c r="F72" s="13"/>
      <c r="G72" s="13"/>
      <c r="H72" s="13">
        <v>1.9256132195974649E-6</v>
      </c>
      <c r="I72" s="13"/>
      <c r="J72" s="13"/>
      <c r="K72" s="13"/>
      <c r="L72" s="13"/>
      <c r="M72" s="13">
        <v>9.364085475539152E-4</v>
      </c>
      <c r="N72" s="17"/>
      <c r="O72" s="17"/>
      <c r="P72" s="17"/>
      <c r="Q72" s="17"/>
      <c r="R72" s="17"/>
    </row>
    <row r="73" spans="1:18" x14ac:dyDescent="0.25">
      <c r="A73" s="17"/>
      <c r="B73" s="3" t="s">
        <v>29</v>
      </c>
      <c r="C73" s="13">
        <v>1.8307656828839631</v>
      </c>
      <c r="D73" s="13">
        <v>0.72625966511196272</v>
      </c>
      <c r="E73" s="13">
        <v>1.7139869416148426</v>
      </c>
      <c r="F73" s="13"/>
      <c r="G73" s="13">
        <v>0.27654593292278101</v>
      </c>
      <c r="H73" s="13"/>
      <c r="I73" s="13">
        <v>2.1668324641768776E-2</v>
      </c>
      <c r="J73" s="13"/>
      <c r="K73" s="13">
        <v>7.4932468700092916E-2</v>
      </c>
      <c r="L73" s="13"/>
      <c r="M73" s="13">
        <v>0.86512782284806622</v>
      </c>
      <c r="N73" s="17"/>
      <c r="O73" s="17"/>
      <c r="P73" s="17"/>
      <c r="Q73" s="17"/>
      <c r="R73" s="17"/>
    </row>
    <row r="74" spans="1:18" x14ac:dyDescent="0.25">
      <c r="A74" s="17"/>
      <c r="B74" s="3" t="s">
        <v>93</v>
      </c>
      <c r="C74" s="20">
        <v>4.5064558389785967</v>
      </c>
      <c r="D74" s="20">
        <v>2.3292633918109673</v>
      </c>
      <c r="E74" s="13">
        <v>0.5676066869792894</v>
      </c>
      <c r="F74" s="13"/>
      <c r="G74" s="13">
        <v>0.48535079361260924</v>
      </c>
      <c r="H74" s="13"/>
      <c r="I74" s="13">
        <v>0.90355816438016401</v>
      </c>
      <c r="J74" s="13"/>
      <c r="K74" s="13"/>
      <c r="L74" s="13">
        <v>3.7747033721869679E-4</v>
      </c>
      <c r="M74" s="13">
        <v>2.6643918963326225</v>
      </c>
      <c r="N74" s="17"/>
      <c r="O74" s="17"/>
      <c r="P74" s="17"/>
      <c r="Q74" s="17"/>
      <c r="R74" s="17"/>
    </row>
    <row r="75" spans="1:18" x14ac:dyDescent="0.25">
      <c r="A75" s="17"/>
      <c r="B75" s="3" t="s">
        <v>72</v>
      </c>
      <c r="C75" s="13">
        <v>0.90146334792812999</v>
      </c>
      <c r="D75" s="13">
        <v>0.55652790366429161</v>
      </c>
      <c r="E75" s="13"/>
      <c r="F75" s="13">
        <v>0.65809142322235792</v>
      </c>
      <c r="G75" s="13">
        <v>0.5739926790019404</v>
      </c>
      <c r="H75" s="13">
        <v>0.73845200748461215</v>
      </c>
      <c r="I75" s="13">
        <v>0.50070843915347873</v>
      </c>
      <c r="J75" s="13">
        <v>0.23421434174674338</v>
      </c>
      <c r="K75" s="13">
        <v>0.13362413832293998</v>
      </c>
      <c r="L75" s="13">
        <v>5.0146177593683984E-2</v>
      </c>
      <c r="M75" s="13">
        <v>0.61195066129293896</v>
      </c>
      <c r="N75" s="17"/>
      <c r="O75" s="17"/>
      <c r="P75" s="17"/>
      <c r="Q75" s="17"/>
      <c r="R75" s="17"/>
    </row>
    <row r="76" spans="1:18" x14ac:dyDescent="0.25">
      <c r="A76" s="17"/>
      <c r="B76" s="3" t="s">
        <v>330</v>
      </c>
      <c r="C76" s="13">
        <v>2.5676088729690583</v>
      </c>
      <c r="D76" s="13">
        <v>0.73224593383410941</v>
      </c>
      <c r="E76" s="13">
        <v>1.7344830896047134</v>
      </c>
      <c r="F76" s="13">
        <v>0.65809142322235792</v>
      </c>
      <c r="G76" s="13">
        <v>0.3256776065406457</v>
      </c>
      <c r="H76" s="13">
        <v>0.69229887736765006</v>
      </c>
      <c r="I76" s="13">
        <v>0.45241571976302841</v>
      </c>
      <c r="J76" s="13">
        <v>0.23421434174674338</v>
      </c>
      <c r="K76" s="13">
        <v>9.4496358574375286E-2</v>
      </c>
      <c r="L76" s="13">
        <v>4.498155813045935E-2</v>
      </c>
      <c r="M76" s="13">
        <v>1</v>
      </c>
      <c r="N76" s="17"/>
      <c r="O76" s="17"/>
      <c r="P76" s="17"/>
      <c r="Q76" s="17"/>
      <c r="R76" s="17"/>
    </row>
    <row r="77" spans="1:18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</row>
    <row r="78" spans="1:18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</row>
  </sheetData>
  <conditionalFormatting pivot="1" sqref="E11:E2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11:F2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11:G2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11:H2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11:D2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11:C2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33:D3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33:E3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33:F3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33:G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33:C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70:M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3987-3857-4A25-8967-2201074A02DC}">
  <sheetPr>
    <tabColor theme="0" tint="-0.14999847407452621"/>
  </sheetPr>
  <dimension ref="A3:G14"/>
  <sheetViews>
    <sheetView workbookViewId="0">
      <selection activeCell="A3" sqref="A3:G14"/>
    </sheetView>
  </sheetViews>
  <sheetFormatPr defaultRowHeight="15" x14ac:dyDescent="0.25"/>
  <cols>
    <col min="1" max="1" width="13.42578125" bestFit="1" customWidth="1"/>
    <col min="2" max="2" width="15.85546875" style="6" bestFit="1" customWidth="1"/>
    <col min="3" max="3" width="16.7109375" style="6" bestFit="1" customWidth="1"/>
    <col min="4" max="4" width="15.5703125" style="6" bestFit="1" customWidth="1"/>
    <col min="5" max="5" width="17" style="11" bestFit="1" customWidth="1"/>
    <col min="6" max="6" width="15.42578125" bestFit="1" customWidth="1"/>
    <col min="7" max="7" width="14.28515625" style="10" bestFit="1" customWidth="1"/>
  </cols>
  <sheetData>
    <row r="3" spans="1:7" x14ac:dyDescent="0.25">
      <c r="A3" s="4" t="s">
        <v>329</v>
      </c>
      <c r="B3" t="s">
        <v>336</v>
      </c>
      <c r="C3" t="s">
        <v>334</v>
      </c>
      <c r="D3" s="6" t="s">
        <v>331</v>
      </c>
      <c r="E3" s="6" t="s">
        <v>333</v>
      </c>
      <c r="F3" s="6" t="s">
        <v>332</v>
      </c>
      <c r="G3" s="11" t="s">
        <v>339</v>
      </c>
    </row>
    <row r="4" spans="1:7" x14ac:dyDescent="0.25">
      <c r="A4" s="3" t="s">
        <v>55</v>
      </c>
      <c r="B4" s="6">
        <v>19</v>
      </c>
      <c r="C4" s="9">
        <v>0.19</v>
      </c>
      <c r="D4" s="7">
        <v>14592708037</v>
      </c>
      <c r="E4" s="9">
        <v>0.48784568586412108</v>
      </c>
      <c r="F4" s="7">
        <v>768037265.10526311</v>
      </c>
      <c r="G4" s="11">
        <v>2.5676088729690583</v>
      </c>
    </row>
    <row r="5" spans="1:7" x14ac:dyDescent="0.25">
      <c r="A5" s="3" t="s">
        <v>68</v>
      </c>
      <c r="B5" s="6">
        <v>7</v>
      </c>
      <c r="C5" s="9">
        <v>7.0000000000000007E-2</v>
      </c>
      <c r="D5" s="7">
        <v>1533233972</v>
      </c>
      <c r="E5" s="9">
        <v>5.1257215368387662E-2</v>
      </c>
      <c r="F5" s="7">
        <v>219033424.57142857</v>
      </c>
      <c r="G5" s="11">
        <v>0.73224593383410941</v>
      </c>
    </row>
    <row r="6" spans="1:7" x14ac:dyDescent="0.25">
      <c r="A6" s="3" t="s">
        <v>154</v>
      </c>
      <c r="B6" s="6">
        <v>9</v>
      </c>
      <c r="C6" s="9">
        <v>0.09</v>
      </c>
      <c r="D6" s="7">
        <v>4669452954</v>
      </c>
      <c r="E6" s="9">
        <v>0.15610347806442421</v>
      </c>
      <c r="F6" s="7">
        <v>518828106</v>
      </c>
      <c r="G6" s="11">
        <v>1.7344830896047134</v>
      </c>
    </row>
    <row r="7" spans="1:7" x14ac:dyDescent="0.25">
      <c r="A7" s="3" t="s">
        <v>142</v>
      </c>
      <c r="B7" s="6">
        <v>6</v>
      </c>
      <c r="C7" s="9">
        <v>0.06</v>
      </c>
      <c r="D7" s="7">
        <v>1181111521</v>
      </c>
      <c r="E7" s="9">
        <v>3.9485485393341471E-2</v>
      </c>
      <c r="F7" s="7">
        <v>196851920.16666666</v>
      </c>
      <c r="G7" s="11">
        <v>0.65809142322235792</v>
      </c>
    </row>
    <row r="8" spans="1:7" x14ac:dyDescent="0.25">
      <c r="A8" s="3" t="s">
        <v>16</v>
      </c>
      <c r="B8" s="6">
        <v>10</v>
      </c>
      <c r="C8" s="9">
        <v>0.1</v>
      </c>
      <c r="D8" s="7">
        <v>974184740</v>
      </c>
      <c r="E8" s="9">
        <v>3.2567760654064574E-2</v>
      </c>
      <c r="F8" s="7">
        <v>97418474</v>
      </c>
      <c r="G8" s="11">
        <v>0.3256776065406457</v>
      </c>
    </row>
    <row r="9" spans="1:7" x14ac:dyDescent="0.25">
      <c r="A9" s="3" t="s">
        <v>62</v>
      </c>
      <c r="B9" s="6">
        <v>16</v>
      </c>
      <c r="C9" s="9">
        <v>0.16</v>
      </c>
      <c r="D9" s="7">
        <v>3313347867</v>
      </c>
      <c r="E9" s="9">
        <v>0.11076782037882402</v>
      </c>
      <c r="F9" s="7">
        <v>207084241.6875</v>
      </c>
      <c r="G9" s="11">
        <v>0.69229887736765006</v>
      </c>
    </row>
    <row r="10" spans="1:7" x14ac:dyDescent="0.25">
      <c r="A10" s="3" t="s">
        <v>27</v>
      </c>
      <c r="B10" s="6">
        <v>25</v>
      </c>
      <c r="C10" s="9">
        <v>0.25</v>
      </c>
      <c r="D10" s="7">
        <v>3383226859</v>
      </c>
      <c r="E10" s="9">
        <v>0.1131039299407571</v>
      </c>
      <c r="F10" s="7">
        <v>135329074.36000001</v>
      </c>
      <c r="G10" s="11">
        <v>0.45241571976302841</v>
      </c>
    </row>
    <row r="11" spans="1:7" x14ac:dyDescent="0.25">
      <c r="A11" s="3" t="s">
        <v>71</v>
      </c>
      <c r="B11" s="6">
        <v>2</v>
      </c>
      <c r="C11" s="9">
        <v>0.02</v>
      </c>
      <c r="D11" s="7">
        <v>140118960</v>
      </c>
      <c r="E11" s="9">
        <v>4.684286834934868E-3</v>
      </c>
      <c r="F11" s="7">
        <v>70059480</v>
      </c>
      <c r="G11" s="11">
        <v>0.23421434174674338</v>
      </c>
    </row>
    <row r="12" spans="1:7" x14ac:dyDescent="0.25">
      <c r="A12" s="3" t="s">
        <v>50</v>
      </c>
      <c r="B12" s="6">
        <v>3</v>
      </c>
      <c r="C12" s="9">
        <v>0.03</v>
      </c>
      <c r="D12" s="7">
        <v>84798809</v>
      </c>
      <c r="E12" s="9">
        <v>2.8348907572312587E-3</v>
      </c>
      <c r="F12" s="7">
        <v>28266269.666666668</v>
      </c>
      <c r="G12" s="11">
        <v>9.4496358574375286E-2</v>
      </c>
    </row>
    <row r="13" spans="1:7" x14ac:dyDescent="0.25">
      <c r="A13" s="3" t="s">
        <v>83</v>
      </c>
      <c r="B13" s="6">
        <v>3</v>
      </c>
      <c r="C13" s="9">
        <v>0.03</v>
      </c>
      <c r="D13" s="7">
        <v>40365392</v>
      </c>
      <c r="E13" s="9">
        <v>1.3494467439137804E-3</v>
      </c>
      <c r="F13" s="7">
        <v>13455130.666666666</v>
      </c>
      <c r="G13" s="11">
        <v>4.498155813045935E-2</v>
      </c>
    </row>
    <row r="14" spans="1:7" x14ac:dyDescent="0.25">
      <c r="A14" s="3" t="s">
        <v>330</v>
      </c>
      <c r="B14" s="6">
        <v>100</v>
      </c>
      <c r="C14" s="9">
        <v>1</v>
      </c>
      <c r="D14" s="7">
        <v>29912549111</v>
      </c>
      <c r="E14" s="9">
        <v>1</v>
      </c>
      <c r="F14" s="7">
        <v>299125491.11000001</v>
      </c>
      <c r="G14" s="11">
        <v>1</v>
      </c>
    </row>
  </sheetData>
  <conditionalFormatting pivot="1" sqref="D4:D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4:E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4:F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4:G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:C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:B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2EFE-131C-492A-BDB1-8BABA2E31BAD}">
  <sheetPr>
    <tabColor theme="7"/>
  </sheetPr>
  <dimension ref="A3:F10"/>
  <sheetViews>
    <sheetView workbookViewId="0">
      <selection activeCell="F3" sqref="F3:F10"/>
      <pivotSelection pane="bottomRight" showHeader="1" extendable="1" axis="axisCol" start="4" max="5" activeRow="2" activeCol="5" previousRow="2" previousCol="5" click="1" r:id="rId1">
        <pivotArea dataOnly="0" outline="0" fieldPosition="0">
          <references count="1">
            <reference field="4294967294" count="1">
              <x v="4"/>
            </reference>
          </references>
        </pivotArea>
      </pivotSelection>
    </sheetView>
  </sheetViews>
  <sheetFormatPr defaultRowHeight="15" x14ac:dyDescent="0.25"/>
  <cols>
    <col min="1" max="1" width="13.42578125" bestFit="1" customWidth="1"/>
    <col min="2" max="2" width="12.28515625" bestFit="1" customWidth="1"/>
    <col min="3" max="3" width="16.7109375" bestFit="1" customWidth="1"/>
    <col min="4" max="4" width="15.5703125" bestFit="1" customWidth="1"/>
    <col min="5" max="5" width="17" bestFit="1" customWidth="1"/>
    <col min="6" max="6" width="14.28515625" style="11" bestFit="1" customWidth="1"/>
  </cols>
  <sheetData>
    <row r="3" spans="1:6" x14ac:dyDescent="0.25">
      <c r="A3" s="4" t="s">
        <v>329</v>
      </c>
      <c r="B3" t="s">
        <v>337</v>
      </c>
      <c r="C3" t="s">
        <v>334</v>
      </c>
      <c r="D3" t="s">
        <v>331</v>
      </c>
      <c r="E3" t="s">
        <v>333</v>
      </c>
      <c r="F3" s="11" t="s">
        <v>339</v>
      </c>
    </row>
    <row r="4" spans="1:6" x14ac:dyDescent="0.25">
      <c r="A4" s="3" t="s">
        <v>42</v>
      </c>
      <c r="B4">
        <v>3</v>
      </c>
      <c r="C4" s="8">
        <v>0.03</v>
      </c>
      <c r="D4" s="5">
        <v>25625572</v>
      </c>
      <c r="E4" s="8">
        <v>8.5668298963449045E-4</v>
      </c>
      <c r="F4" s="11">
        <v>2.8556099654483018E-2</v>
      </c>
    </row>
    <row r="5" spans="1:6" x14ac:dyDescent="0.25">
      <c r="A5" s="3" t="s">
        <v>20</v>
      </c>
      <c r="B5">
        <v>8</v>
      </c>
      <c r="C5" s="8">
        <v>0.08</v>
      </c>
      <c r="D5" s="5">
        <v>3033340102</v>
      </c>
      <c r="E5" s="8">
        <v>0.10140694097129033</v>
      </c>
      <c r="F5" s="11">
        <v>1.267586762141129</v>
      </c>
    </row>
    <row r="6" spans="1:6" x14ac:dyDescent="0.25">
      <c r="A6" s="3" t="s">
        <v>58</v>
      </c>
      <c r="B6">
        <v>3</v>
      </c>
      <c r="C6" s="8">
        <v>0.03</v>
      </c>
      <c r="D6" s="5">
        <v>840311</v>
      </c>
      <c r="E6" s="8">
        <v>2.8092256426617456E-5</v>
      </c>
      <c r="F6" s="11">
        <v>9.364085475539152E-4</v>
      </c>
    </row>
    <row r="7" spans="1:6" x14ac:dyDescent="0.25">
      <c r="A7" s="3" t="s">
        <v>29</v>
      </c>
      <c r="B7">
        <v>17</v>
      </c>
      <c r="C7" s="8">
        <v>0.17</v>
      </c>
      <c r="D7" s="5">
        <v>4399290343</v>
      </c>
      <c r="E7" s="8">
        <v>0.14707172988417128</v>
      </c>
      <c r="F7" s="11">
        <v>0.86512782284806622</v>
      </c>
    </row>
    <row r="8" spans="1:6" x14ac:dyDescent="0.25">
      <c r="A8" s="3" t="s">
        <v>93</v>
      </c>
      <c r="B8">
        <v>16</v>
      </c>
      <c r="C8" s="8">
        <v>0.16</v>
      </c>
      <c r="D8" s="5">
        <v>12751800552</v>
      </c>
      <c r="E8" s="8">
        <v>0.42630270341321963</v>
      </c>
      <c r="F8" s="11">
        <v>2.6643918963326225</v>
      </c>
    </row>
    <row r="9" spans="1:6" x14ac:dyDescent="0.25">
      <c r="A9" s="3" t="s">
        <v>72</v>
      </c>
      <c r="B9">
        <v>53</v>
      </c>
      <c r="C9" s="8">
        <v>0.53</v>
      </c>
      <c r="D9" s="5">
        <v>9701652231</v>
      </c>
      <c r="E9" s="8">
        <v>0.32433385048525765</v>
      </c>
      <c r="F9" s="11">
        <v>0.61195066129293896</v>
      </c>
    </row>
    <row r="10" spans="1:6" x14ac:dyDescent="0.25">
      <c r="A10" s="3" t="s">
        <v>330</v>
      </c>
      <c r="B10">
        <v>100</v>
      </c>
      <c r="C10" s="8">
        <v>1</v>
      </c>
      <c r="D10" s="5">
        <v>29912549111</v>
      </c>
      <c r="E10" s="8">
        <v>1</v>
      </c>
      <c r="F10" s="11">
        <v>1</v>
      </c>
    </row>
  </sheetData>
  <conditionalFormatting pivot="1" sqref="C4:C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4:D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4:E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4:F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:B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2E78-5399-4ECA-A382-30F3F4C899DE}">
  <sheetPr>
    <tabColor theme="8"/>
  </sheetPr>
  <dimension ref="A3:G65"/>
  <sheetViews>
    <sheetView workbookViewId="0">
      <selection activeCell="A3" sqref="A3:F15"/>
    </sheetView>
  </sheetViews>
  <sheetFormatPr defaultRowHeight="15" x14ac:dyDescent="0.25"/>
  <cols>
    <col min="1" max="1" width="13.85546875" bestFit="1" customWidth="1"/>
    <col min="2" max="2" width="12.28515625" style="14" bestFit="1" customWidth="1"/>
    <col min="3" max="3" width="16.28515625" style="11" bestFit="1" customWidth="1"/>
    <col min="4" max="4" width="15.28515625" style="16" bestFit="1" customWidth="1"/>
    <col min="5" max="5" width="15.42578125" style="6" bestFit="1" customWidth="1"/>
    <col min="6" max="6" width="15.85546875" style="11" bestFit="1" customWidth="1"/>
    <col min="7" max="7" width="2.28515625" style="6" bestFit="1" customWidth="1"/>
    <col min="8" max="8" width="11.28515625" bestFit="1" customWidth="1"/>
    <col min="9" max="9" width="6.85546875" bestFit="1" customWidth="1"/>
    <col min="10" max="10" width="8.140625" bestFit="1" customWidth="1"/>
    <col min="11" max="11" width="8.7109375" bestFit="1" customWidth="1"/>
    <col min="12" max="12" width="11.28515625" bestFit="1" customWidth="1"/>
  </cols>
  <sheetData>
    <row r="3" spans="1:7" x14ac:dyDescent="0.25">
      <c r="A3" s="12" t="s">
        <v>329</v>
      </c>
      <c r="B3" s="6" t="s">
        <v>337</v>
      </c>
      <c r="C3" s="6" t="s">
        <v>341</v>
      </c>
      <c r="D3" s="16" t="s">
        <v>331</v>
      </c>
      <c r="E3" s="6" t="s">
        <v>332</v>
      </c>
      <c r="F3" s="11" t="s">
        <v>338</v>
      </c>
      <c r="G3"/>
    </row>
    <row r="4" spans="1:7" x14ac:dyDescent="0.25">
      <c r="A4" s="3" t="s">
        <v>20</v>
      </c>
      <c r="B4" s="14">
        <v>8</v>
      </c>
      <c r="C4" s="9">
        <v>0.33333333333333331</v>
      </c>
      <c r="D4" s="16">
        <v>3033340102</v>
      </c>
      <c r="E4" s="9">
        <v>0.19216427452176948</v>
      </c>
      <c r="F4" s="11">
        <v>1.267586762141129</v>
      </c>
      <c r="G4"/>
    </row>
    <row r="5" spans="1:7" x14ac:dyDescent="0.25">
      <c r="A5" s="15" t="s">
        <v>68</v>
      </c>
      <c r="B5" s="14">
        <v>1</v>
      </c>
      <c r="C5" s="9">
        <v>4.1666666666666664E-2</v>
      </c>
      <c r="D5" s="16">
        <v>68989547</v>
      </c>
      <c r="E5" s="9">
        <v>4.3705373624604261E-3</v>
      </c>
      <c r="F5" s="11">
        <v>0.23063747173132051</v>
      </c>
      <c r="G5"/>
    </row>
    <row r="6" spans="1:7" x14ac:dyDescent="0.25">
      <c r="A6" s="15" t="s">
        <v>154</v>
      </c>
      <c r="B6" s="14">
        <v>4</v>
      </c>
      <c r="C6" s="9">
        <v>0.16666666666666666</v>
      </c>
      <c r="D6" s="16">
        <v>2961058806</v>
      </c>
      <c r="E6" s="9">
        <v>0.18758520249546584</v>
      </c>
      <c r="F6" s="11">
        <v>2.4747630125169642</v>
      </c>
      <c r="G6"/>
    </row>
    <row r="7" spans="1:7" x14ac:dyDescent="0.25">
      <c r="A7" s="15" t="s">
        <v>16</v>
      </c>
      <c r="B7" s="14">
        <v>3</v>
      </c>
      <c r="C7" s="9">
        <v>0.125</v>
      </c>
      <c r="D7" s="16">
        <v>3291749</v>
      </c>
      <c r="E7" s="9">
        <v>2.0853466384323041E-4</v>
      </c>
      <c r="F7" s="11">
        <v>3.6681917766184817E-3</v>
      </c>
      <c r="G7"/>
    </row>
    <row r="8" spans="1:7" x14ac:dyDescent="0.25">
      <c r="A8" s="3" t="s">
        <v>93</v>
      </c>
      <c r="B8" s="14">
        <v>16</v>
      </c>
      <c r="C8" s="9">
        <v>0.66666666666666663</v>
      </c>
      <c r="D8" s="16">
        <v>12751800552</v>
      </c>
      <c r="E8" s="9">
        <v>0.80783572547823046</v>
      </c>
      <c r="F8" s="11">
        <v>2.6643918963326225</v>
      </c>
      <c r="G8"/>
    </row>
    <row r="9" spans="1:7" x14ac:dyDescent="0.25">
      <c r="A9" s="15" t="s">
        <v>55</v>
      </c>
      <c r="B9" s="14">
        <v>8</v>
      </c>
      <c r="C9" s="9">
        <v>0.33333333333333331</v>
      </c>
      <c r="D9" s="16">
        <v>10783966528</v>
      </c>
      <c r="E9" s="9">
        <v>0.68317202642520081</v>
      </c>
      <c r="F9" s="11">
        <v>4.5064558389785967</v>
      </c>
      <c r="G9"/>
    </row>
    <row r="10" spans="1:7" x14ac:dyDescent="0.25">
      <c r="A10" s="15" t="s">
        <v>68</v>
      </c>
      <c r="B10" s="14">
        <v>1</v>
      </c>
      <c r="C10" s="9">
        <v>4.1666666666666664E-2</v>
      </c>
      <c r="D10" s="16">
        <v>696742056</v>
      </c>
      <c r="E10" s="9">
        <v>4.4139109766085205E-2</v>
      </c>
      <c r="F10" s="11">
        <v>2.3292633918109673</v>
      </c>
      <c r="G10"/>
    </row>
    <row r="11" spans="1:7" x14ac:dyDescent="0.25">
      <c r="A11" s="15" t="s">
        <v>154</v>
      </c>
      <c r="B11" s="14">
        <v>1</v>
      </c>
      <c r="C11" s="9">
        <v>4.1666666666666664E-2</v>
      </c>
      <c r="D11" s="16">
        <v>169785629</v>
      </c>
      <c r="E11" s="9">
        <v>1.0756041566026581E-2</v>
      </c>
      <c r="F11" s="11">
        <v>0.5676066869792894</v>
      </c>
      <c r="G11"/>
    </row>
    <row r="12" spans="1:7" x14ac:dyDescent="0.25">
      <c r="A12" s="15" t="s">
        <v>16</v>
      </c>
      <c r="B12" s="14">
        <v>2</v>
      </c>
      <c r="C12" s="9">
        <v>8.3333333333333329E-2</v>
      </c>
      <c r="D12" s="16">
        <v>290361589</v>
      </c>
      <c r="E12" s="9">
        <v>1.8394615250160697E-2</v>
      </c>
      <c r="F12" s="11">
        <v>0.48535079361260924</v>
      </c>
      <c r="G12"/>
    </row>
    <row r="13" spans="1:7" x14ac:dyDescent="0.25">
      <c r="A13" s="15" t="s">
        <v>27</v>
      </c>
      <c r="B13" s="14">
        <v>3</v>
      </c>
      <c r="C13" s="9">
        <v>0.125</v>
      </c>
      <c r="D13" s="16">
        <v>810831839</v>
      </c>
      <c r="E13" s="9">
        <v>5.1366779477795332E-2</v>
      </c>
      <c r="F13" s="11">
        <v>0.90355816438016401</v>
      </c>
      <c r="G13"/>
    </row>
    <row r="14" spans="1:7" x14ac:dyDescent="0.25">
      <c r="A14" s="15" t="s">
        <v>83</v>
      </c>
      <c r="B14" s="14">
        <v>1</v>
      </c>
      <c r="C14" s="9">
        <v>4.1666666666666664E-2</v>
      </c>
      <c r="D14" s="16">
        <v>112911</v>
      </c>
      <c r="E14" s="9">
        <v>7.1529929618579632E-6</v>
      </c>
      <c r="F14" s="11">
        <v>3.7747033721869679E-4</v>
      </c>
      <c r="G14"/>
    </row>
    <row r="15" spans="1:7" x14ac:dyDescent="0.25">
      <c r="A15" s="3" t="s">
        <v>330</v>
      </c>
      <c r="B15" s="14">
        <v>24</v>
      </c>
      <c r="C15" s="9">
        <v>1</v>
      </c>
      <c r="D15" s="16">
        <v>15785140654</v>
      </c>
      <c r="E15" s="9">
        <v>1</v>
      </c>
      <c r="F15" s="11">
        <v>2.1987901849354583</v>
      </c>
      <c r="G15"/>
    </row>
    <row r="16" spans="1:7" x14ac:dyDescent="0.25">
      <c r="B16" s="6"/>
      <c r="G16"/>
    </row>
    <row r="17" spans="2:7" x14ac:dyDescent="0.25">
      <c r="B17" s="6"/>
      <c r="G17"/>
    </row>
    <row r="18" spans="2:7" x14ac:dyDescent="0.25">
      <c r="B18" s="6"/>
      <c r="G18"/>
    </row>
    <row r="19" spans="2:7" x14ac:dyDescent="0.25">
      <c r="B19" s="6"/>
      <c r="G19"/>
    </row>
    <row r="20" spans="2:7" x14ac:dyDescent="0.25">
      <c r="B20" s="6"/>
      <c r="G20"/>
    </row>
    <row r="21" spans="2:7" x14ac:dyDescent="0.25">
      <c r="B21" s="6"/>
      <c r="G21"/>
    </row>
    <row r="22" spans="2:7" x14ac:dyDescent="0.25">
      <c r="B22" s="6"/>
      <c r="G22"/>
    </row>
    <row r="23" spans="2:7" x14ac:dyDescent="0.25">
      <c r="B23" s="6"/>
      <c r="G23"/>
    </row>
    <row r="24" spans="2:7" x14ac:dyDescent="0.25">
      <c r="G24"/>
    </row>
    <row r="25" spans="2:7" x14ac:dyDescent="0.25">
      <c r="G25"/>
    </row>
    <row r="26" spans="2:7" x14ac:dyDescent="0.25">
      <c r="G26"/>
    </row>
    <row r="27" spans="2:7" x14ac:dyDescent="0.25">
      <c r="G27"/>
    </row>
    <row r="28" spans="2:7" x14ac:dyDescent="0.25">
      <c r="G28"/>
    </row>
    <row r="29" spans="2:7" x14ac:dyDescent="0.25">
      <c r="G29"/>
    </row>
    <row r="30" spans="2:7" x14ac:dyDescent="0.25">
      <c r="G30"/>
    </row>
    <row r="31" spans="2:7" x14ac:dyDescent="0.25">
      <c r="G31"/>
    </row>
    <row r="32" spans="2:7" x14ac:dyDescent="0.25">
      <c r="G32"/>
    </row>
    <row r="33" spans="7:7" x14ac:dyDescent="0.25">
      <c r="G33"/>
    </row>
    <row r="34" spans="7:7" x14ac:dyDescent="0.25">
      <c r="G34"/>
    </row>
    <row r="35" spans="7:7" x14ac:dyDescent="0.25">
      <c r="G35"/>
    </row>
    <row r="36" spans="7:7" x14ac:dyDescent="0.25">
      <c r="G36"/>
    </row>
    <row r="37" spans="7:7" x14ac:dyDescent="0.25">
      <c r="G37"/>
    </row>
    <row r="38" spans="7:7" x14ac:dyDescent="0.25">
      <c r="G38"/>
    </row>
    <row r="39" spans="7:7" x14ac:dyDescent="0.25">
      <c r="G39"/>
    </row>
    <row r="40" spans="7:7" x14ac:dyDescent="0.25">
      <c r="G40"/>
    </row>
    <row r="41" spans="7:7" x14ac:dyDescent="0.25">
      <c r="G41"/>
    </row>
    <row r="42" spans="7:7" x14ac:dyDescent="0.25">
      <c r="G42"/>
    </row>
    <row r="43" spans="7:7" x14ac:dyDescent="0.25">
      <c r="G43"/>
    </row>
    <row r="44" spans="7:7" x14ac:dyDescent="0.25">
      <c r="G44"/>
    </row>
    <row r="45" spans="7:7" x14ac:dyDescent="0.25">
      <c r="G45"/>
    </row>
    <row r="46" spans="7:7" x14ac:dyDescent="0.25">
      <c r="G46"/>
    </row>
    <row r="47" spans="7:7" x14ac:dyDescent="0.25">
      <c r="G47"/>
    </row>
    <row r="48" spans="7:7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B8A5-0F81-42D6-901A-0D90DD9080FF}">
  <sheetPr>
    <tabColor theme="1"/>
  </sheetPr>
  <dimension ref="A1:O101"/>
  <sheetViews>
    <sheetView topLeftCell="C64" workbookViewId="0">
      <selection sqref="A1:O101"/>
    </sheetView>
  </sheetViews>
  <sheetFormatPr defaultRowHeight="15" x14ac:dyDescent="0.25"/>
  <cols>
    <col min="1" max="1" width="11.5703125" bestFit="1" customWidth="1"/>
    <col min="2" max="2" width="63.140625" bestFit="1" customWidth="1"/>
    <col min="3" max="3" width="12" bestFit="1" customWidth="1"/>
    <col min="4" max="4" width="14.85546875" bestFit="1" customWidth="1"/>
    <col min="5" max="5" width="12.42578125" bestFit="1" customWidth="1"/>
    <col min="6" max="6" width="13.85546875" bestFit="1" customWidth="1"/>
    <col min="7" max="7" width="11" bestFit="1" customWidth="1"/>
    <col min="8" max="8" width="8" style="2" bestFit="1" customWidth="1"/>
    <col min="9" max="9" width="6.7109375" bestFit="1" customWidth="1"/>
    <col min="11" max="11" width="32.42578125" bestFit="1" customWidth="1"/>
    <col min="12" max="12" width="15.5703125" bestFit="1" customWidth="1"/>
    <col min="13" max="13" width="13.7109375" style="2" bestFit="1" customWidth="1"/>
    <col min="14" max="14" width="10.5703125" style="2" bestFit="1" customWidth="1"/>
    <col min="15" max="15" width="9.140625" style="39"/>
  </cols>
  <sheetData>
    <row r="1" spans="1:15" x14ac:dyDescent="0.25">
      <c r="A1" t="s">
        <v>0</v>
      </c>
      <c r="B1" t="s">
        <v>335</v>
      </c>
      <c r="C1" t="s">
        <v>1</v>
      </c>
      <c r="D1" s="1" t="s">
        <v>2</v>
      </c>
      <c r="E1" t="s">
        <v>3</v>
      </c>
      <c r="F1" t="s">
        <v>4</v>
      </c>
      <c r="G1" t="s">
        <v>5</v>
      </c>
      <c r="H1" s="37" t="s">
        <v>6</v>
      </c>
      <c r="I1" t="s">
        <v>7</v>
      </c>
      <c r="J1" t="s">
        <v>8</v>
      </c>
      <c r="K1" t="s">
        <v>9</v>
      </c>
      <c r="L1" t="s">
        <v>10</v>
      </c>
      <c r="M1" s="2" t="s">
        <v>11</v>
      </c>
      <c r="N1" s="2" t="s">
        <v>12</v>
      </c>
      <c r="O1" s="38" t="s">
        <v>13</v>
      </c>
    </row>
    <row r="2" spans="1:15" x14ac:dyDescent="0.25">
      <c r="A2" t="s">
        <v>14</v>
      </c>
      <c r="B2">
        <v>1</v>
      </c>
      <c r="C2" t="s">
        <v>15</v>
      </c>
      <c r="D2" s="1">
        <v>13586</v>
      </c>
      <c r="E2" t="s">
        <v>16</v>
      </c>
      <c r="F2" t="s">
        <v>17</v>
      </c>
      <c r="G2" t="s">
        <v>18</v>
      </c>
      <c r="H2" s="37">
        <v>87</v>
      </c>
      <c r="I2" t="s">
        <v>19</v>
      </c>
      <c r="J2" t="s">
        <v>20</v>
      </c>
      <c r="K2" t="s">
        <v>21</v>
      </c>
      <c r="M2" s="37">
        <v>457688</v>
      </c>
      <c r="N2" s="37">
        <v>211250</v>
      </c>
      <c r="O2" s="38">
        <v>8.3000000000000007</v>
      </c>
    </row>
    <row r="3" spans="1:15" x14ac:dyDescent="0.25">
      <c r="A3" t="s">
        <v>22</v>
      </c>
      <c r="B3">
        <v>1</v>
      </c>
      <c r="C3" t="s">
        <v>23</v>
      </c>
      <c r="D3" s="1">
        <v>16613</v>
      </c>
      <c r="E3" t="s">
        <v>16</v>
      </c>
      <c r="F3" t="s">
        <v>17</v>
      </c>
      <c r="G3" t="s">
        <v>24</v>
      </c>
      <c r="H3" s="37">
        <v>125</v>
      </c>
      <c r="I3" t="s">
        <v>19</v>
      </c>
      <c r="J3" t="s">
        <v>20</v>
      </c>
      <c r="K3" t="s">
        <v>21</v>
      </c>
      <c r="M3" s="37">
        <v>969879</v>
      </c>
      <c r="N3" s="37">
        <v>197381</v>
      </c>
      <c r="O3" s="38">
        <v>8</v>
      </c>
    </row>
    <row r="4" spans="1:15" x14ac:dyDescent="0.25">
      <c r="A4" t="s">
        <v>25</v>
      </c>
      <c r="B4">
        <v>1</v>
      </c>
      <c r="C4" t="s">
        <v>26</v>
      </c>
      <c r="D4" s="1">
        <v>17127</v>
      </c>
      <c r="E4" t="s">
        <v>27</v>
      </c>
      <c r="F4" t="s">
        <v>28</v>
      </c>
      <c r="G4" t="s">
        <v>24</v>
      </c>
      <c r="H4" s="37">
        <v>102</v>
      </c>
      <c r="I4" t="s">
        <v>19</v>
      </c>
      <c r="J4" t="s">
        <v>29</v>
      </c>
      <c r="K4" t="s">
        <v>30</v>
      </c>
      <c r="M4" s="37">
        <v>4374761</v>
      </c>
      <c r="N4" s="37">
        <v>509953</v>
      </c>
      <c r="O4" s="38">
        <v>8.3000000000000007</v>
      </c>
    </row>
    <row r="5" spans="1:15" x14ac:dyDescent="0.25">
      <c r="A5" t="s">
        <v>31</v>
      </c>
      <c r="B5">
        <v>1</v>
      </c>
      <c r="C5" t="s">
        <v>32</v>
      </c>
      <c r="D5" s="1">
        <v>17603</v>
      </c>
      <c r="E5" t="s">
        <v>27</v>
      </c>
      <c r="F5" t="s">
        <v>18</v>
      </c>
      <c r="G5" t="s">
        <v>33</v>
      </c>
      <c r="H5" s="37">
        <v>130</v>
      </c>
      <c r="I5" t="s">
        <v>19</v>
      </c>
      <c r="J5" t="s">
        <v>29</v>
      </c>
      <c r="K5" t="s">
        <v>34</v>
      </c>
      <c r="M5" s="37">
        <v>6130720</v>
      </c>
      <c r="N5" s="37">
        <v>388310</v>
      </c>
      <c r="O5" s="38">
        <v>8.6</v>
      </c>
    </row>
    <row r="6" spans="1:15" x14ac:dyDescent="0.25">
      <c r="A6" t="s">
        <v>35</v>
      </c>
      <c r="B6">
        <v>1</v>
      </c>
      <c r="C6" t="s">
        <v>36</v>
      </c>
      <c r="D6" s="1">
        <v>17862</v>
      </c>
      <c r="E6" t="s">
        <v>27</v>
      </c>
      <c r="F6" t="s">
        <v>37</v>
      </c>
      <c r="H6" s="37">
        <v>119</v>
      </c>
      <c r="I6" t="s">
        <v>19</v>
      </c>
      <c r="J6" t="s">
        <v>29</v>
      </c>
      <c r="K6" t="s">
        <v>38</v>
      </c>
      <c r="M6" s="37">
        <v>1594107</v>
      </c>
      <c r="N6" s="37">
        <v>389322</v>
      </c>
      <c r="O6" s="38">
        <v>7.6</v>
      </c>
    </row>
    <row r="7" spans="1:15" x14ac:dyDescent="0.25">
      <c r="A7" t="s">
        <v>39</v>
      </c>
      <c r="B7">
        <v>1</v>
      </c>
      <c r="C7" t="s">
        <v>40</v>
      </c>
      <c r="D7" s="1">
        <v>18693</v>
      </c>
      <c r="E7" t="s">
        <v>27</v>
      </c>
      <c r="F7" t="s">
        <v>41</v>
      </c>
      <c r="H7" s="37">
        <v>110</v>
      </c>
      <c r="I7" t="s">
        <v>19</v>
      </c>
      <c r="J7" t="s">
        <v>42</v>
      </c>
      <c r="K7" t="s">
        <v>43</v>
      </c>
      <c r="M7" s="37">
        <v>299645</v>
      </c>
      <c r="N7" s="37">
        <v>195789</v>
      </c>
      <c r="O7" s="38">
        <v>8</v>
      </c>
    </row>
    <row r="8" spans="1:15" x14ac:dyDescent="0.25">
      <c r="A8" t="s">
        <v>44</v>
      </c>
      <c r="B8">
        <v>1</v>
      </c>
      <c r="C8" t="s">
        <v>45</v>
      </c>
      <c r="D8" s="1">
        <v>19395</v>
      </c>
      <c r="E8" t="s">
        <v>16</v>
      </c>
      <c r="F8" t="s">
        <v>46</v>
      </c>
      <c r="G8" t="s">
        <v>28</v>
      </c>
      <c r="H8" s="37">
        <v>103</v>
      </c>
      <c r="I8" t="s">
        <v>19</v>
      </c>
      <c r="J8" t="s">
        <v>20</v>
      </c>
      <c r="K8" t="s">
        <v>47</v>
      </c>
      <c r="M8" s="37">
        <v>1864182</v>
      </c>
      <c r="N8" s="37">
        <v>213152</v>
      </c>
      <c r="O8" s="38">
        <v>7.4</v>
      </c>
    </row>
    <row r="9" spans="1:15" x14ac:dyDescent="0.25">
      <c r="A9" t="s">
        <v>48</v>
      </c>
      <c r="B9">
        <v>1</v>
      </c>
      <c r="C9" t="s">
        <v>49</v>
      </c>
      <c r="D9" s="1">
        <v>20193</v>
      </c>
      <c r="E9" t="s">
        <v>50</v>
      </c>
      <c r="F9" t="s">
        <v>51</v>
      </c>
      <c r="H9" s="37">
        <v>112</v>
      </c>
      <c r="I9" t="s">
        <v>19</v>
      </c>
      <c r="J9" t="s">
        <v>29</v>
      </c>
      <c r="K9" t="s">
        <v>52</v>
      </c>
      <c r="M9" s="37">
        <v>37032034</v>
      </c>
      <c r="N9" s="37">
        <v>432390</v>
      </c>
      <c r="O9" s="38">
        <v>8.1</v>
      </c>
    </row>
    <row r="10" spans="1:15" x14ac:dyDescent="0.25">
      <c r="A10" t="s">
        <v>53</v>
      </c>
      <c r="B10">
        <v>1</v>
      </c>
      <c r="C10" t="s">
        <v>54</v>
      </c>
      <c r="D10" s="1">
        <v>20320</v>
      </c>
      <c r="E10" t="s">
        <v>55</v>
      </c>
      <c r="F10" t="s">
        <v>56</v>
      </c>
      <c r="G10" t="s">
        <v>17</v>
      </c>
      <c r="H10" s="37">
        <v>207</v>
      </c>
      <c r="I10" t="s">
        <v>57</v>
      </c>
      <c r="J10" t="s">
        <v>58</v>
      </c>
      <c r="K10" t="s">
        <v>59</v>
      </c>
      <c r="M10" s="37">
        <v>322773</v>
      </c>
      <c r="N10" s="37">
        <v>307958</v>
      </c>
      <c r="O10" s="38">
        <v>8.6</v>
      </c>
    </row>
    <row r="11" spans="1:15" x14ac:dyDescent="0.25">
      <c r="A11" t="s">
        <v>60</v>
      </c>
      <c r="B11">
        <v>1</v>
      </c>
      <c r="C11" t="s">
        <v>61</v>
      </c>
      <c r="D11" s="1">
        <v>21067</v>
      </c>
      <c r="E11" t="s">
        <v>62</v>
      </c>
      <c r="F11" t="s">
        <v>17</v>
      </c>
      <c r="H11" s="37">
        <v>96</v>
      </c>
      <c r="I11" t="s">
        <v>19</v>
      </c>
      <c r="J11" t="s">
        <v>58</v>
      </c>
      <c r="K11" t="s">
        <v>63</v>
      </c>
      <c r="M11" s="37">
        <v>576</v>
      </c>
      <c r="N11" s="37">
        <v>668473</v>
      </c>
      <c r="O11" s="38">
        <v>8.9</v>
      </c>
    </row>
    <row r="12" spans="1:15" x14ac:dyDescent="0.25">
      <c r="A12" t="s">
        <v>64</v>
      </c>
      <c r="B12">
        <v>1</v>
      </c>
      <c r="C12" t="s">
        <v>65</v>
      </c>
      <c r="D12" s="1">
        <v>21507</v>
      </c>
      <c r="E12" t="s">
        <v>50</v>
      </c>
      <c r="F12" t="s">
        <v>28</v>
      </c>
      <c r="G12" t="s">
        <v>51</v>
      </c>
      <c r="H12" s="37">
        <v>128</v>
      </c>
      <c r="I12" t="s">
        <v>19</v>
      </c>
      <c r="J12" t="s">
        <v>29</v>
      </c>
      <c r="K12" t="s">
        <v>52</v>
      </c>
      <c r="M12" s="37">
        <v>7796389</v>
      </c>
      <c r="N12" s="37">
        <v>352786</v>
      </c>
      <c r="O12" s="38">
        <v>7.5</v>
      </c>
    </row>
    <row r="13" spans="1:15" x14ac:dyDescent="0.25">
      <c r="A13" t="s">
        <v>66</v>
      </c>
      <c r="B13">
        <v>1</v>
      </c>
      <c r="C13" t="s">
        <v>67</v>
      </c>
      <c r="D13" s="1">
        <v>21851</v>
      </c>
      <c r="E13" t="s">
        <v>68</v>
      </c>
      <c r="F13" t="s">
        <v>37</v>
      </c>
      <c r="G13" t="s">
        <v>51</v>
      </c>
      <c r="H13" s="37">
        <v>136</v>
      </c>
      <c r="I13" t="s">
        <v>19</v>
      </c>
      <c r="J13" t="s">
        <v>42</v>
      </c>
      <c r="K13" t="s">
        <v>52</v>
      </c>
      <c r="M13" s="37">
        <v>73446</v>
      </c>
      <c r="N13" s="37">
        <v>291628</v>
      </c>
      <c r="O13" s="38">
        <v>7.5</v>
      </c>
    </row>
    <row r="14" spans="1:15" x14ac:dyDescent="0.25">
      <c r="A14" t="s">
        <v>69</v>
      </c>
      <c r="B14">
        <v>1</v>
      </c>
      <c r="C14" t="s">
        <v>70</v>
      </c>
      <c r="D14" s="1">
        <v>22217</v>
      </c>
      <c r="E14" t="s">
        <v>71</v>
      </c>
      <c r="F14" t="s">
        <v>37</v>
      </c>
      <c r="G14" t="s">
        <v>51</v>
      </c>
      <c r="H14" s="37">
        <v>109</v>
      </c>
      <c r="I14" t="s">
        <v>19</v>
      </c>
      <c r="J14" t="s">
        <v>72</v>
      </c>
      <c r="K14" t="s">
        <v>52</v>
      </c>
      <c r="M14" s="37">
        <v>32008644</v>
      </c>
      <c r="N14" s="37">
        <v>586765</v>
      </c>
      <c r="O14" s="38">
        <v>8.3000000000000007</v>
      </c>
    </row>
    <row r="15" spans="1:15" x14ac:dyDescent="0.25">
      <c r="A15" t="s">
        <v>73</v>
      </c>
      <c r="B15">
        <v>1</v>
      </c>
      <c r="C15" t="s">
        <v>74</v>
      </c>
      <c r="D15" s="1">
        <v>23313</v>
      </c>
      <c r="E15" t="s">
        <v>68</v>
      </c>
      <c r="F15" t="s">
        <v>75</v>
      </c>
      <c r="G15" t="s">
        <v>17</v>
      </c>
      <c r="H15" s="37">
        <v>228</v>
      </c>
      <c r="I15" t="s">
        <v>76</v>
      </c>
      <c r="J15" t="s">
        <v>29</v>
      </c>
      <c r="K15" t="s">
        <v>77</v>
      </c>
      <c r="M15" s="37">
        <v>45710874</v>
      </c>
      <c r="N15" s="37">
        <v>261504.00000000003</v>
      </c>
      <c r="O15" s="38">
        <v>7.5</v>
      </c>
    </row>
    <row r="16" spans="1:15" x14ac:dyDescent="0.25">
      <c r="A16" t="s">
        <v>78</v>
      </c>
      <c r="B16">
        <v>1</v>
      </c>
      <c r="C16" t="s">
        <v>79</v>
      </c>
      <c r="D16" s="1">
        <v>23470</v>
      </c>
      <c r="E16" t="s">
        <v>16</v>
      </c>
      <c r="H16" s="37">
        <v>95</v>
      </c>
      <c r="I16" t="s">
        <v>76</v>
      </c>
      <c r="J16" t="s">
        <v>29</v>
      </c>
      <c r="K16" t="s">
        <v>80</v>
      </c>
      <c r="M16" s="37">
        <v>9443876</v>
      </c>
      <c r="N16" s="37">
        <v>441115</v>
      </c>
      <c r="O16" s="38">
        <v>8.1</v>
      </c>
    </row>
    <row r="17" spans="1:15" x14ac:dyDescent="0.25">
      <c r="A17" t="s">
        <v>81</v>
      </c>
      <c r="B17">
        <v>1</v>
      </c>
      <c r="C17" t="s">
        <v>82</v>
      </c>
      <c r="D17" s="1">
        <v>24096</v>
      </c>
      <c r="E17" t="s">
        <v>83</v>
      </c>
      <c r="H17" s="37">
        <v>132</v>
      </c>
      <c r="I17" t="s">
        <v>84</v>
      </c>
      <c r="J17" t="s">
        <v>72</v>
      </c>
      <c r="K17" t="s">
        <v>85</v>
      </c>
      <c r="M17" s="37">
        <v>15000000</v>
      </c>
      <c r="N17" s="37">
        <v>226039</v>
      </c>
      <c r="O17" s="38">
        <v>7.4</v>
      </c>
    </row>
    <row r="18" spans="1:15" x14ac:dyDescent="0.25">
      <c r="A18" t="s">
        <v>86</v>
      </c>
      <c r="B18">
        <v>1</v>
      </c>
      <c r="C18" t="s">
        <v>87</v>
      </c>
      <c r="D18" s="1">
        <v>24464</v>
      </c>
      <c r="E18" t="s">
        <v>83</v>
      </c>
      <c r="H18" s="37">
        <v>161</v>
      </c>
      <c r="I18" t="s">
        <v>84</v>
      </c>
      <c r="J18" t="s">
        <v>42</v>
      </c>
      <c r="K18" t="s">
        <v>85</v>
      </c>
      <c r="M18" s="37">
        <v>25252481</v>
      </c>
      <c r="N18" s="37">
        <v>672499</v>
      </c>
      <c r="O18" s="38">
        <v>8.8000000000000007</v>
      </c>
    </row>
    <row r="19" spans="1:15" x14ac:dyDescent="0.25">
      <c r="A19" t="s">
        <v>88</v>
      </c>
      <c r="B19">
        <v>1</v>
      </c>
      <c r="C19" t="s">
        <v>89</v>
      </c>
      <c r="D19" s="1">
        <v>25184</v>
      </c>
      <c r="E19" t="s">
        <v>68</v>
      </c>
      <c r="F19" t="s">
        <v>90</v>
      </c>
      <c r="H19" s="37">
        <v>149</v>
      </c>
      <c r="I19" t="s">
        <v>76</v>
      </c>
      <c r="J19" t="s">
        <v>20</v>
      </c>
      <c r="K19" t="s">
        <v>80</v>
      </c>
      <c r="M19" s="37">
        <v>68989547</v>
      </c>
      <c r="N19" s="37">
        <v>587866</v>
      </c>
      <c r="O19" s="38">
        <v>7.6</v>
      </c>
    </row>
    <row r="20" spans="1:15" x14ac:dyDescent="0.25">
      <c r="A20" t="s">
        <v>91</v>
      </c>
      <c r="B20">
        <v>1</v>
      </c>
      <c r="C20" t="s">
        <v>92</v>
      </c>
      <c r="D20" s="1">
        <v>25193</v>
      </c>
      <c r="E20" t="s">
        <v>83</v>
      </c>
      <c r="H20" s="37">
        <v>165</v>
      </c>
      <c r="I20" t="s">
        <v>84</v>
      </c>
      <c r="J20" t="s">
        <v>93</v>
      </c>
      <c r="K20" t="s">
        <v>85</v>
      </c>
      <c r="M20" s="37">
        <v>112911</v>
      </c>
      <c r="N20" s="37">
        <v>295220</v>
      </c>
      <c r="O20" s="38">
        <v>8.3000000000000007</v>
      </c>
    </row>
    <row r="21" spans="1:15" x14ac:dyDescent="0.25">
      <c r="A21" t="s">
        <v>94</v>
      </c>
      <c r="B21">
        <v>1</v>
      </c>
      <c r="C21" t="s">
        <v>95</v>
      </c>
      <c r="D21" s="1">
        <v>26549</v>
      </c>
      <c r="E21" t="s">
        <v>62</v>
      </c>
      <c r="F21" t="s">
        <v>17</v>
      </c>
      <c r="G21" t="s">
        <v>90</v>
      </c>
      <c r="H21" s="37">
        <v>136</v>
      </c>
      <c r="I21" t="s">
        <v>76</v>
      </c>
      <c r="J21" t="s">
        <v>72</v>
      </c>
      <c r="K21" t="s">
        <v>80</v>
      </c>
      <c r="M21" s="37">
        <v>26903440</v>
      </c>
      <c r="N21" s="37">
        <v>740301</v>
      </c>
      <c r="O21" s="38">
        <v>7.8</v>
      </c>
    </row>
    <row r="22" spans="1:15" x14ac:dyDescent="0.25">
      <c r="A22" t="s">
        <v>96</v>
      </c>
      <c r="B22">
        <v>1</v>
      </c>
      <c r="C22" t="s">
        <v>97</v>
      </c>
      <c r="D22" s="1">
        <v>26563</v>
      </c>
      <c r="E22" t="s">
        <v>62</v>
      </c>
      <c r="F22" t="s">
        <v>17</v>
      </c>
      <c r="H22" s="37">
        <v>175</v>
      </c>
      <c r="I22" t="s">
        <v>19</v>
      </c>
      <c r="J22" t="s">
        <v>72</v>
      </c>
      <c r="K22" t="s">
        <v>98</v>
      </c>
      <c r="M22" s="37">
        <v>246120974</v>
      </c>
      <c r="N22" s="37">
        <v>1572674</v>
      </c>
      <c r="O22" s="38">
        <v>9.1999999999999993</v>
      </c>
    </row>
    <row r="23" spans="1:15" x14ac:dyDescent="0.25">
      <c r="A23" t="s">
        <v>99</v>
      </c>
      <c r="B23">
        <v>1</v>
      </c>
      <c r="C23" t="s">
        <v>100</v>
      </c>
      <c r="D23" s="1">
        <v>27109</v>
      </c>
      <c r="E23" t="s">
        <v>16</v>
      </c>
      <c r="F23" t="s">
        <v>101</v>
      </c>
      <c r="G23" t="s">
        <v>17</v>
      </c>
      <c r="H23" s="37">
        <v>129</v>
      </c>
      <c r="I23" t="s">
        <v>19</v>
      </c>
      <c r="J23" t="s">
        <v>29</v>
      </c>
      <c r="K23" t="s">
        <v>102</v>
      </c>
      <c r="M23" s="37">
        <v>156000000</v>
      </c>
      <c r="N23" s="37">
        <v>236285</v>
      </c>
      <c r="O23" s="38">
        <v>7.5</v>
      </c>
    </row>
    <row r="24" spans="1:15" x14ac:dyDescent="0.25">
      <c r="A24" t="s">
        <v>103</v>
      </c>
      <c r="B24">
        <v>1</v>
      </c>
      <c r="C24" t="s">
        <v>104</v>
      </c>
      <c r="D24" s="1">
        <v>27662</v>
      </c>
      <c r="E24" t="s">
        <v>62</v>
      </c>
      <c r="F24" t="s">
        <v>17</v>
      </c>
      <c r="H24" s="37">
        <v>220</v>
      </c>
      <c r="I24" t="s">
        <v>19</v>
      </c>
      <c r="J24" t="s">
        <v>72</v>
      </c>
      <c r="K24" t="s">
        <v>98</v>
      </c>
      <c r="M24" s="37">
        <v>408035783</v>
      </c>
      <c r="N24" s="37">
        <v>1098714</v>
      </c>
      <c r="O24" s="38">
        <v>9</v>
      </c>
    </row>
    <row r="25" spans="1:15" x14ac:dyDescent="0.25">
      <c r="A25" t="s">
        <v>105</v>
      </c>
      <c r="B25">
        <v>1</v>
      </c>
      <c r="C25" t="s">
        <v>106</v>
      </c>
      <c r="D25" s="1">
        <v>28082</v>
      </c>
      <c r="E25" t="s">
        <v>27</v>
      </c>
      <c r="H25" s="37">
        <v>133</v>
      </c>
      <c r="I25" t="s">
        <v>19</v>
      </c>
      <c r="J25" t="s">
        <v>72</v>
      </c>
      <c r="K25" t="s">
        <v>107</v>
      </c>
      <c r="M25" s="37">
        <v>108997629</v>
      </c>
      <c r="N25" s="37">
        <v>891071</v>
      </c>
      <c r="O25" s="38">
        <v>8.6999999999999993</v>
      </c>
    </row>
    <row r="26" spans="1:15" x14ac:dyDescent="0.25">
      <c r="A26" t="s">
        <v>108</v>
      </c>
      <c r="B26">
        <v>1</v>
      </c>
      <c r="C26" t="s">
        <v>109</v>
      </c>
      <c r="D26" s="1">
        <v>28118</v>
      </c>
      <c r="E26" t="s">
        <v>62</v>
      </c>
      <c r="F26" t="s">
        <v>17</v>
      </c>
      <c r="H26" s="37">
        <v>114</v>
      </c>
      <c r="I26" t="s">
        <v>19</v>
      </c>
      <c r="J26" t="s">
        <v>72</v>
      </c>
      <c r="K26" t="s">
        <v>110</v>
      </c>
      <c r="M26" s="37">
        <v>28441292</v>
      </c>
      <c r="N26" s="37">
        <v>703264</v>
      </c>
      <c r="O26" s="38">
        <v>7.7</v>
      </c>
    </row>
    <row r="27" spans="1:15" x14ac:dyDescent="0.25">
      <c r="A27" t="s">
        <v>111</v>
      </c>
      <c r="B27">
        <v>1</v>
      </c>
      <c r="C27" t="s">
        <v>112</v>
      </c>
      <c r="D27" s="1">
        <v>28418</v>
      </c>
      <c r="E27" t="s">
        <v>55</v>
      </c>
      <c r="F27" t="s">
        <v>56</v>
      </c>
      <c r="G27" t="s">
        <v>33</v>
      </c>
      <c r="H27" s="37">
        <v>121</v>
      </c>
      <c r="I27" t="s">
        <v>19</v>
      </c>
      <c r="J27" t="s">
        <v>29</v>
      </c>
      <c r="K27" t="s">
        <v>113</v>
      </c>
      <c r="M27" s="37">
        <v>775768912</v>
      </c>
      <c r="N27" s="37">
        <v>1204107</v>
      </c>
      <c r="O27" s="38">
        <v>8.6</v>
      </c>
    </row>
    <row r="28" spans="1:15" x14ac:dyDescent="0.25">
      <c r="A28" t="s">
        <v>114</v>
      </c>
      <c r="B28">
        <v>1</v>
      </c>
      <c r="C28" t="s">
        <v>115</v>
      </c>
      <c r="D28" s="1">
        <v>29153</v>
      </c>
      <c r="E28" t="s">
        <v>71</v>
      </c>
      <c r="F28" t="s">
        <v>90</v>
      </c>
      <c r="H28" s="37">
        <v>117</v>
      </c>
      <c r="I28" t="s">
        <v>76</v>
      </c>
      <c r="J28" t="s">
        <v>72</v>
      </c>
      <c r="K28" t="s">
        <v>116</v>
      </c>
      <c r="M28" s="37">
        <v>108110316</v>
      </c>
      <c r="N28" s="37">
        <v>768874</v>
      </c>
      <c r="O28" s="38">
        <v>8.1999999999999993</v>
      </c>
    </row>
    <row r="29" spans="1:15" x14ac:dyDescent="0.25">
      <c r="A29" t="s">
        <v>117</v>
      </c>
      <c r="B29">
        <v>1</v>
      </c>
      <c r="C29" t="s">
        <v>118</v>
      </c>
      <c r="D29" s="1">
        <v>29207</v>
      </c>
      <c r="E29" t="s">
        <v>27</v>
      </c>
      <c r="F29" t="s">
        <v>37</v>
      </c>
      <c r="G29" t="s">
        <v>24</v>
      </c>
      <c r="H29" s="37">
        <v>147</v>
      </c>
      <c r="I29" t="s">
        <v>19</v>
      </c>
      <c r="J29" t="s">
        <v>72</v>
      </c>
      <c r="K29" t="s">
        <v>98</v>
      </c>
      <c r="M29" s="37">
        <v>91968688</v>
      </c>
      <c r="N29" s="37">
        <v>591251</v>
      </c>
      <c r="O29" s="38">
        <v>8.1999999999999993</v>
      </c>
    </row>
    <row r="30" spans="1:15" x14ac:dyDescent="0.25">
      <c r="A30" t="s">
        <v>119</v>
      </c>
      <c r="B30">
        <v>1</v>
      </c>
      <c r="C30" t="s">
        <v>120</v>
      </c>
      <c r="D30" s="1">
        <v>29483</v>
      </c>
      <c r="E30" t="s">
        <v>55</v>
      </c>
      <c r="F30" t="s">
        <v>56</v>
      </c>
      <c r="G30" t="s">
        <v>33</v>
      </c>
      <c r="H30" s="37">
        <v>124</v>
      </c>
      <c r="I30" t="s">
        <v>19</v>
      </c>
      <c r="J30" t="s">
        <v>29</v>
      </c>
      <c r="K30" t="s">
        <v>121</v>
      </c>
      <c r="M30" s="37">
        <v>549265501</v>
      </c>
      <c r="N30" s="37">
        <v>1132073</v>
      </c>
      <c r="O30" s="38">
        <v>8.6999999999999993</v>
      </c>
    </row>
    <row r="31" spans="1:15" x14ac:dyDescent="0.25">
      <c r="A31" t="s">
        <v>122</v>
      </c>
      <c r="B31">
        <v>1</v>
      </c>
      <c r="C31" t="s">
        <v>123</v>
      </c>
      <c r="D31" s="1">
        <v>29577</v>
      </c>
      <c r="E31" t="s">
        <v>27</v>
      </c>
      <c r="F31" t="s">
        <v>124</v>
      </c>
      <c r="H31" s="37">
        <v>146</v>
      </c>
      <c r="I31" t="s">
        <v>76</v>
      </c>
      <c r="J31" t="s">
        <v>72</v>
      </c>
      <c r="K31" t="s">
        <v>80</v>
      </c>
      <c r="M31" s="37">
        <v>46520613</v>
      </c>
      <c r="N31" s="37">
        <v>869480</v>
      </c>
      <c r="O31" s="38">
        <v>8.1999999999999993</v>
      </c>
    </row>
    <row r="32" spans="1:15" x14ac:dyDescent="0.25">
      <c r="A32" t="s">
        <v>125</v>
      </c>
      <c r="B32">
        <v>1</v>
      </c>
      <c r="C32" t="s">
        <v>126</v>
      </c>
      <c r="D32" s="1">
        <v>29749</v>
      </c>
      <c r="E32" t="s">
        <v>55</v>
      </c>
      <c r="F32" t="s">
        <v>56</v>
      </c>
      <c r="H32" s="37">
        <v>115</v>
      </c>
      <c r="I32" t="s">
        <v>19</v>
      </c>
      <c r="J32" t="s">
        <v>29</v>
      </c>
      <c r="K32" t="s">
        <v>127</v>
      </c>
      <c r="M32" s="37">
        <v>390133212</v>
      </c>
      <c r="N32" s="37">
        <v>865510</v>
      </c>
      <c r="O32" s="38">
        <v>8.1999999999999993</v>
      </c>
    </row>
    <row r="33" spans="1:15" x14ac:dyDescent="0.25">
      <c r="A33" t="s">
        <v>128</v>
      </c>
      <c r="B33">
        <v>1</v>
      </c>
      <c r="C33" t="s">
        <v>129</v>
      </c>
      <c r="D33" s="1">
        <v>30028</v>
      </c>
      <c r="E33" t="s">
        <v>68</v>
      </c>
      <c r="F33" t="s">
        <v>17</v>
      </c>
      <c r="G33" t="s">
        <v>51</v>
      </c>
      <c r="H33" s="37">
        <v>149</v>
      </c>
      <c r="I33" t="s">
        <v>130</v>
      </c>
      <c r="J33" t="s">
        <v>72</v>
      </c>
      <c r="K33" t="s">
        <v>131</v>
      </c>
      <c r="M33" s="37">
        <v>11487676</v>
      </c>
      <c r="N33" s="37">
        <v>226427</v>
      </c>
      <c r="O33" s="38">
        <v>7.5</v>
      </c>
    </row>
    <row r="34" spans="1:15" x14ac:dyDescent="0.25">
      <c r="A34" t="s">
        <v>132</v>
      </c>
      <c r="B34">
        <v>1</v>
      </c>
      <c r="C34" t="s">
        <v>133</v>
      </c>
      <c r="D34" s="1">
        <v>30610</v>
      </c>
      <c r="E34" t="s">
        <v>55</v>
      </c>
      <c r="F34" t="s">
        <v>56</v>
      </c>
      <c r="G34" t="s">
        <v>33</v>
      </c>
      <c r="H34" s="37">
        <v>131</v>
      </c>
      <c r="I34" t="s">
        <v>19</v>
      </c>
      <c r="J34" t="s">
        <v>29</v>
      </c>
      <c r="K34" t="s">
        <v>134</v>
      </c>
      <c r="M34" s="37">
        <v>475347111</v>
      </c>
      <c r="N34" s="37">
        <v>928036</v>
      </c>
      <c r="O34" s="38">
        <v>7.9</v>
      </c>
    </row>
    <row r="35" spans="1:15" x14ac:dyDescent="0.25">
      <c r="A35" t="s">
        <v>135</v>
      </c>
      <c r="B35">
        <v>1</v>
      </c>
      <c r="C35" t="s">
        <v>136</v>
      </c>
      <c r="D35" s="1">
        <v>30713</v>
      </c>
      <c r="E35" t="s">
        <v>62</v>
      </c>
      <c r="F35" t="s">
        <v>17</v>
      </c>
      <c r="H35" s="37">
        <v>170</v>
      </c>
      <c r="I35" t="s">
        <v>19</v>
      </c>
      <c r="J35" t="s">
        <v>72</v>
      </c>
      <c r="K35" t="s">
        <v>137</v>
      </c>
      <c r="M35" s="37">
        <v>66023585</v>
      </c>
      <c r="N35" s="37">
        <v>721343</v>
      </c>
      <c r="O35" s="38">
        <v>7.8</v>
      </c>
    </row>
    <row r="36" spans="1:15" x14ac:dyDescent="0.25">
      <c r="A36" t="s">
        <v>138</v>
      </c>
      <c r="B36">
        <v>1</v>
      </c>
      <c r="C36" t="s">
        <v>139</v>
      </c>
      <c r="D36" s="1">
        <v>30953</v>
      </c>
      <c r="E36" t="s">
        <v>62</v>
      </c>
      <c r="F36" t="s">
        <v>17</v>
      </c>
      <c r="H36" s="37">
        <v>229</v>
      </c>
      <c r="I36" t="s">
        <v>19</v>
      </c>
      <c r="J36" t="s">
        <v>72</v>
      </c>
      <c r="K36" t="s">
        <v>85</v>
      </c>
      <c r="M36" s="37">
        <v>5472914</v>
      </c>
      <c r="N36" s="37">
        <v>302317</v>
      </c>
      <c r="O36" s="38">
        <v>8</v>
      </c>
    </row>
    <row r="37" spans="1:15" x14ac:dyDescent="0.25">
      <c r="A37" t="s">
        <v>140</v>
      </c>
      <c r="B37">
        <v>1</v>
      </c>
      <c r="C37" t="s">
        <v>141</v>
      </c>
      <c r="D37" s="1">
        <v>31093</v>
      </c>
      <c r="E37" t="s">
        <v>142</v>
      </c>
      <c r="F37" t="s">
        <v>17</v>
      </c>
      <c r="G37" t="s">
        <v>143</v>
      </c>
      <c r="H37" s="37">
        <v>160</v>
      </c>
      <c r="I37" t="s">
        <v>19</v>
      </c>
      <c r="J37" t="s">
        <v>72</v>
      </c>
      <c r="K37" t="s">
        <v>107</v>
      </c>
      <c r="M37" s="37">
        <v>52066791</v>
      </c>
      <c r="N37" s="37">
        <v>361028</v>
      </c>
      <c r="O37" s="38">
        <v>7.6</v>
      </c>
    </row>
    <row r="38" spans="1:15" x14ac:dyDescent="0.25">
      <c r="A38" t="s">
        <v>144</v>
      </c>
      <c r="B38">
        <v>1</v>
      </c>
      <c r="C38" t="s">
        <v>145</v>
      </c>
      <c r="D38" s="1">
        <v>31338</v>
      </c>
      <c r="E38" t="s">
        <v>68</v>
      </c>
      <c r="F38" t="s">
        <v>146</v>
      </c>
      <c r="G38" t="s">
        <v>90</v>
      </c>
      <c r="H38" s="37">
        <v>116</v>
      </c>
      <c r="I38" t="s">
        <v>19</v>
      </c>
      <c r="J38" t="s">
        <v>29</v>
      </c>
      <c r="K38" t="s">
        <v>147</v>
      </c>
      <c r="M38" s="37">
        <v>388774684</v>
      </c>
      <c r="N38" s="37">
        <v>1027330</v>
      </c>
      <c r="O38" s="38">
        <v>8.5</v>
      </c>
    </row>
    <row r="39" spans="1:15" x14ac:dyDescent="0.25">
      <c r="A39" t="s">
        <v>148</v>
      </c>
      <c r="B39">
        <v>1</v>
      </c>
      <c r="C39" t="s">
        <v>115</v>
      </c>
      <c r="D39" s="1">
        <v>31679</v>
      </c>
      <c r="E39" t="s">
        <v>55</v>
      </c>
      <c r="F39" t="s">
        <v>56</v>
      </c>
      <c r="G39" t="s">
        <v>90</v>
      </c>
      <c r="H39" s="37">
        <v>137</v>
      </c>
      <c r="I39" t="s">
        <v>19</v>
      </c>
      <c r="J39" t="s">
        <v>72</v>
      </c>
      <c r="K39" t="s">
        <v>149</v>
      </c>
      <c r="M39" s="37">
        <v>131384634</v>
      </c>
      <c r="N39" s="37">
        <v>639500</v>
      </c>
      <c r="O39" s="38">
        <v>7.7</v>
      </c>
    </row>
    <row r="40" spans="1:15" x14ac:dyDescent="0.25">
      <c r="A40" t="s">
        <v>150</v>
      </c>
      <c r="B40">
        <v>1</v>
      </c>
      <c r="C40" t="s">
        <v>151</v>
      </c>
      <c r="D40" s="1">
        <v>32059</v>
      </c>
      <c r="E40" t="s">
        <v>27</v>
      </c>
      <c r="F40" t="s">
        <v>24</v>
      </c>
      <c r="H40" s="37">
        <v>116</v>
      </c>
      <c r="I40" t="s">
        <v>76</v>
      </c>
      <c r="J40" t="s">
        <v>72</v>
      </c>
      <c r="K40" t="s">
        <v>80</v>
      </c>
      <c r="M40" s="37">
        <v>46357676</v>
      </c>
      <c r="N40" s="37">
        <v>658175</v>
      </c>
      <c r="O40" s="38">
        <v>7.7</v>
      </c>
    </row>
    <row r="41" spans="1:15" x14ac:dyDescent="0.25">
      <c r="A41" t="s">
        <v>152</v>
      </c>
      <c r="B41">
        <v>1</v>
      </c>
      <c r="C41" t="s">
        <v>153</v>
      </c>
      <c r="D41" s="1">
        <v>32249</v>
      </c>
      <c r="E41" t="s">
        <v>154</v>
      </c>
      <c r="F41" t="s">
        <v>17</v>
      </c>
      <c r="G41" t="s">
        <v>24</v>
      </c>
      <c r="H41" s="37">
        <v>89</v>
      </c>
      <c r="I41" t="s">
        <v>57</v>
      </c>
      <c r="J41" t="s">
        <v>58</v>
      </c>
      <c r="K41" t="s">
        <v>155</v>
      </c>
      <c r="M41" s="37">
        <v>516962</v>
      </c>
      <c r="N41" s="37">
        <v>225438</v>
      </c>
      <c r="O41" s="38">
        <v>8.3000000000000007</v>
      </c>
    </row>
    <row r="42" spans="1:15" x14ac:dyDescent="0.25">
      <c r="A42" t="s">
        <v>156</v>
      </c>
      <c r="B42">
        <v>1</v>
      </c>
      <c r="C42" t="s">
        <v>157</v>
      </c>
      <c r="D42" s="1">
        <v>32464</v>
      </c>
      <c r="E42" t="s">
        <v>27</v>
      </c>
      <c r="H42" s="37">
        <v>155</v>
      </c>
      <c r="I42" t="s">
        <v>84</v>
      </c>
      <c r="J42" t="s">
        <v>29</v>
      </c>
      <c r="K42" t="s">
        <v>158</v>
      </c>
      <c r="M42" s="37">
        <v>13826605</v>
      </c>
      <c r="N42" s="37">
        <v>223050</v>
      </c>
      <c r="O42" s="38">
        <v>8.3000000000000007</v>
      </c>
    </row>
    <row r="43" spans="1:15" x14ac:dyDescent="0.25">
      <c r="A43" t="s">
        <v>159</v>
      </c>
      <c r="B43">
        <v>1</v>
      </c>
      <c r="C43" t="s">
        <v>160</v>
      </c>
      <c r="D43" s="1">
        <v>33136</v>
      </c>
      <c r="E43" t="s">
        <v>142</v>
      </c>
      <c r="F43" t="s">
        <v>101</v>
      </c>
      <c r="G43" t="s">
        <v>17</v>
      </c>
      <c r="H43" s="37">
        <v>146</v>
      </c>
      <c r="I43" t="s">
        <v>19</v>
      </c>
      <c r="J43" t="s">
        <v>72</v>
      </c>
      <c r="K43" t="s">
        <v>110</v>
      </c>
      <c r="M43" s="37">
        <v>46879633</v>
      </c>
      <c r="N43" s="37">
        <v>991505</v>
      </c>
      <c r="O43" s="38">
        <v>8.6999999999999993</v>
      </c>
    </row>
    <row r="44" spans="1:15" x14ac:dyDescent="0.25">
      <c r="A44" t="s">
        <v>161</v>
      </c>
      <c r="B44">
        <v>1</v>
      </c>
      <c r="C44" t="s">
        <v>162</v>
      </c>
      <c r="D44" s="1">
        <v>33302</v>
      </c>
      <c r="E44" t="s">
        <v>62</v>
      </c>
      <c r="F44" t="s">
        <v>17</v>
      </c>
      <c r="G44" t="s">
        <v>51</v>
      </c>
      <c r="H44" s="37">
        <v>118</v>
      </c>
      <c r="I44" t="s">
        <v>19</v>
      </c>
      <c r="J44" t="s">
        <v>72</v>
      </c>
      <c r="K44" t="s">
        <v>163</v>
      </c>
      <c r="M44" s="37">
        <v>272753884</v>
      </c>
      <c r="N44" s="37">
        <v>1234134</v>
      </c>
      <c r="O44" s="38">
        <v>8.6</v>
      </c>
    </row>
    <row r="45" spans="1:15" x14ac:dyDescent="0.25">
      <c r="A45" t="s">
        <v>164</v>
      </c>
      <c r="B45">
        <v>1</v>
      </c>
      <c r="C45" t="s">
        <v>165</v>
      </c>
      <c r="D45" s="1">
        <v>33591</v>
      </c>
      <c r="E45" t="s">
        <v>55</v>
      </c>
      <c r="F45" t="s">
        <v>90</v>
      </c>
      <c r="H45" s="37">
        <v>137</v>
      </c>
      <c r="I45" t="s">
        <v>19</v>
      </c>
      <c r="J45" t="s">
        <v>72</v>
      </c>
      <c r="K45" t="s">
        <v>149</v>
      </c>
      <c r="M45" s="37">
        <v>520884847</v>
      </c>
      <c r="N45" s="37">
        <v>974970</v>
      </c>
      <c r="O45" s="38">
        <v>8.4</v>
      </c>
    </row>
    <row r="46" spans="1:15" x14ac:dyDescent="0.25">
      <c r="A46" t="s">
        <v>166</v>
      </c>
      <c r="B46">
        <v>1</v>
      </c>
      <c r="C46" t="s">
        <v>167</v>
      </c>
      <c r="D46" s="1">
        <v>33886</v>
      </c>
      <c r="E46" t="s">
        <v>62</v>
      </c>
      <c r="F46" t="s">
        <v>17</v>
      </c>
      <c r="G46" t="s">
        <v>51</v>
      </c>
      <c r="H46" s="37">
        <v>99</v>
      </c>
      <c r="I46" t="s">
        <v>19</v>
      </c>
      <c r="J46" t="s">
        <v>72</v>
      </c>
      <c r="K46" t="s">
        <v>168</v>
      </c>
      <c r="M46" s="37">
        <v>2889963</v>
      </c>
      <c r="N46" s="37">
        <v>896551</v>
      </c>
      <c r="O46" s="38">
        <v>7.9</v>
      </c>
    </row>
    <row r="47" spans="1:15" x14ac:dyDescent="0.25">
      <c r="A47" t="s">
        <v>169</v>
      </c>
      <c r="B47">
        <v>1</v>
      </c>
      <c r="C47" t="s">
        <v>170</v>
      </c>
      <c r="D47" s="1">
        <v>34404</v>
      </c>
      <c r="E47" t="s">
        <v>142</v>
      </c>
      <c r="F47" t="s">
        <v>17</v>
      </c>
      <c r="G47" t="s">
        <v>143</v>
      </c>
      <c r="H47" s="37">
        <v>195</v>
      </c>
      <c r="I47" t="s">
        <v>19</v>
      </c>
      <c r="J47" t="s">
        <v>72</v>
      </c>
      <c r="K47" t="s">
        <v>127</v>
      </c>
      <c r="M47" s="37">
        <v>322287794</v>
      </c>
      <c r="N47" s="37">
        <v>1183248</v>
      </c>
      <c r="O47" s="38">
        <v>8.9</v>
      </c>
    </row>
    <row r="48" spans="1:15" x14ac:dyDescent="0.25">
      <c r="A48" t="s">
        <v>171</v>
      </c>
      <c r="B48">
        <v>1</v>
      </c>
      <c r="C48" t="s">
        <v>172</v>
      </c>
      <c r="D48" s="1">
        <v>34613</v>
      </c>
      <c r="E48" t="s">
        <v>27</v>
      </c>
      <c r="F48" t="s">
        <v>28</v>
      </c>
      <c r="H48" s="37">
        <v>142</v>
      </c>
      <c r="I48" t="s">
        <v>19</v>
      </c>
      <c r="J48" t="s">
        <v>93</v>
      </c>
      <c r="K48" t="s">
        <v>147</v>
      </c>
      <c r="M48" s="37">
        <v>678229452</v>
      </c>
      <c r="N48" s="37">
        <v>1755490</v>
      </c>
      <c r="O48" s="38">
        <v>8.8000000000000007</v>
      </c>
    </row>
    <row r="49" spans="1:15" x14ac:dyDescent="0.25">
      <c r="A49" t="s">
        <v>173</v>
      </c>
      <c r="B49">
        <v>1</v>
      </c>
      <c r="C49" t="s">
        <v>174</v>
      </c>
      <c r="D49" s="1">
        <v>34635</v>
      </c>
      <c r="E49" t="s">
        <v>62</v>
      </c>
      <c r="F49" t="s">
        <v>17</v>
      </c>
      <c r="H49" s="37">
        <v>154</v>
      </c>
      <c r="I49" t="s">
        <v>19</v>
      </c>
      <c r="J49" t="s">
        <v>72</v>
      </c>
      <c r="K49" t="s">
        <v>168</v>
      </c>
      <c r="M49" s="37">
        <v>222831817</v>
      </c>
      <c r="N49" s="37">
        <v>1780147</v>
      </c>
      <c r="O49" s="38">
        <v>8.9</v>
      </c>
    </row>
    <row r="50" spans="1:15" x14ac:dyDescent="0.25">
      <c r="A50" t="s">
        <v>175</v>
      </c>
      <c r="B50">
        <v>1</v>
      </c>
      <c r="C50" t="s">
        <v>176</v>
      </c>
      <c r="D50" s="1">
        <v>34663</v>
      </c>
      <c r="E50" t="s">
        <v>154</v>
      </c>
      <c r="F50" t="s">
        <v>56</v>
      </c>
      <c r="G50" t="s">
        <v>17</v>
      </c>
      <c r="H50" s="37">
        <v>88</v>
      </c>
      <c r="I50" t="s">
        <v>19</v>
      </c>
      <c r="J50" t="s">
        <v>20</v>
      </c>
      <c r="K50" t="s">
        <v>177</v>
      </c>
      <c r="L50" t="s">
        <v>178</v>
      </c>
      <c r="M50" s="37">
        <v>968511805</v>
      </c>
      <c r="N50" s="37">
        <v>917248</v>
      </c>
      <c r="O50" s="38">
        <v>8.4</v>
      </c>
    </row>
    <row r="51" spans="1:15" x14ac:dyDescent="0.25">
      <c r="A51" t="s">
        <v>179</v>
      </c>
      <c r="B51">
        <v>1</v>
      </c>
      <c r="C51" t="s">
        <v>180</v>
      </c>
      <c r="D51" s="1">
        <v>34740</v>
      </c>
      <c r="E51" t="s">
        <v>27</v>
      </c>
      <c r="H51" s="37">
        <v>142</v>
      </c>
      <c r="I51" t="s">
        <v>19</v>
      </c>
      <c r="J51" t="s">
        <v>72</v>
      </c>
      <c r="K51" t="s">
        <v>181</v>
      </c>
      <c r="M51" s="37">
        <v>28815245</v>
      </c>
      <c r="N51" s="37">
        <v>2278845</v>
      </c>
      <c r="O51" s="38">
        <v>9.3000000000000007</v>
      </c>
    </row>
    <row r="52" spans="1:15" x14ac:dyDescent="0.25">
      <c r="A52" t="s">
        <v>182</v>
      </c>
      <c r="B52">
        <v>1</v>
      </c>
      <c r="C52" t="s">
        <v>183</v>
      </c>
      <c r="D52" s="1">
        <v>34796</v>
      </c>
      <c r="E52" t="s">
        <v>55</v>
      </c>
      <c r="F52" t="s">
        <v>101</v>
      </c>
      <c r="G52" t="s">
        <v>17</v>
      </c>
      <c r="H52" s="37">
        <v>110</v>
      </c>
      <c r="I52" t="s">
        <v>184</v>
      </c>
      <c r="J52" t="s">
        <v>72</v>
      </c>
      <c r="K52" t="s">
        <v>185</v>
      </c>
      <c r="M52" s="37">
        <v>19552639</v>
      </c>
      <c r="N52" s="37">
        <v>1007598</v>
      </c>
      <c r="O52" s="38">
        <v>8.5</v>
      </c>
    </row>
    <row r="53" spans="1:15" x14ac:dyDescent="0.25">
      <c r="A53" t="s">
        <v>186</v>
      </c>
      <c r="B53">
        <v>1</v>
      </c>
      <c r="C53" t="s">
        <v>187</v>
      </c>
      <c r="D53" s="1">
        <v>35033</v>
      </c>
      <c r="E53" t="s">
        <v>62</v>
      </c>
      <c r="F53" t="s">
        <v>37</v>
      </c>
      <c r="G53" t="s">
        <v>51</v>
      </c>
      <c r="H53" s="37">
        <v>106</v>
      </c>
      <c r="I53" t="s">
        <v>19</v>
      </c>
      <c r="J53" t="s">
        <v>72</v>
      </c>
      <c r="K53" t="s">
        <v>188</v>
      </c>
      <c r="M53" s="37">
        <v>23341568</v>
      </c>
      <c r="N53" s="37">
        <v>968947</v>
      </c>
      <c r="O53" s="38">
        <v>8.4</v>
      </c>
    </row>
    <row r="54" spans="1:15" x14ac:dyDescent="0.25">
      <c r="A54" t="s">
        <v>189</v>
      </c>
      <c r="B54">
        <v>1</v>
      </c>
      <c r="C54" t="s">
        <v>190</v>
      </c>
      <c r="D54" s="1">
        <v>35034</v>
      </c>
      <c r="E54" t="s">
        <v>142</v>
      </c>
      <c r="F54" t="s">
        <v>17</v>
      </c>
      <c r="G54" t="s">
        <v>143</v>
      </c>
      <c r="H54" s="37">
        <v>178</v>
      </c>
      <c r="I54" t="s">
        <v>19</v>
      </c>
      <c r="J54" t="s">
        <v>72</v>
      </c>
      <c r="K54" t="s">
        <v>191</v>
      </c>
      <c r="M54" s="37">
        <v>213216216</v>
      </c>
      <c r="N54" s="37">
        <v>941683</v>
      </c>
      <c r="O54" s="38">
        <v>7.9</v>
      </c>
    </row>
    <row r="55" spans="1:15" x14ac:dyDescent="0.25">
      <c r="A55" t="s">
        <v>192</v>
      </c>
      <c r="B55">
        <v>1</v>
      </c>
      <c r="C55" t="s">
        <v>193</v>
      </c>
      <c r="D55" s="1">
        <v>35048</v>
      </c>
      <c r="E55" t="s">
        <v>62</v>
      </c>
      <c r="F55" t="s">
        <v>17</v>
      </c>
      <c r="G55" t="s">
        <v>37</v>
      </c>
      <c r="H55" s="37">
        <v>127</v>
      </c>
      <c r="I55" t="s">
        <v>19</v>
      </c>
      <c r="J55" t="s">
        <v>72</v>
      </c>
      <c r="K55" t="s">
        <v>194</v>
      </c>
      <c r="M55" s="37">
        <v>327333559</v>
      </c>
      <c r="N55" s="37">
        <v>1402015</v>
      </c>
      <c r="O55" s="38">
        <v>8.6</v>
      </c>
    </row>
    <row r="56" spans="1:15" x14ac:dyDescent="0.25">
      <c r="A56" t="s">
        <v>195</v>
      </c>
      <c r="B56">
        <v>1</v>
      </c>
      <c r="C56" t="s">
        <v>196</v>
      </c>
      <c r="D56" s="1">
        <v>35146</v>
      </c>
      <c r="E56" t="s">
        <v>154</v>
      </c>
      <c r="F56" t="s">
        <v>56</v>
      </c>
      <c r="G56" t="s">
        <v>146</v>
      </c>
      <c r="H56" s="37">
        <v>81</v>
      </c>
      <c r="I56" t="s">
        <v>19</v>
      </c>
      <c r="J56" t="s">
        <v>20</v>
      </c>
      <c r="K56" t="s">
        <v>197</v>
      </c>
      <c r="M56" s="37">
        <v>404265438</v>
      </c>
      <c r="N56" s="37">
        <v>864461</v>
      </c>
      <c r="O56" s="38">
        <v>7.9</v>
      </c>
    </row>
    <row r="57" spans="1:15" x14ac:dyDescent="0.25">
      <c r="A57" t="s">
        <v>198</v>
      </c>
      <c r="B57">
        <v>1</v>
      </c>
      <c r="C57" t="s">
        <v>199</v>
      </c>
      <c r="D57" s="1">
        <v>35784</v>
      </c>
      <c r="E57" t="s">
        <v>16</v>
      </c>
      <c r="F57" t="s">
        <v>17</v>
      </c>
      <c r="G57" t="s">
        <v>28</v>
      </c>
      <c r="H57" s="37">
        <v>116</v>
      </c>
      <c r="I57" t="s">
        <v>84</v>
      </c>
      <c r="J57" t="s">
        <v>93</v>
      </c>
      <c r="K57" t="s">
        <v>200</v>
      </c>
      <c r="M57" s="37">
        <v>230098753</v>
      </c>
      <c r="N57" s="37">
        <v>605648</v>
      </c>
      <c r="O57" s="38">
        <v>8.6</v>
      </c>
    </row>
    <row r="58" spans="1:15" x14ac:dyDescent="0.25">
      <c r="A58" t="s">
        <v>201</v>
      </c>
      <c r="B58">
        <v>1</v>
      </c>
      <c r="C58" t="s">
        <v>202</v>
      </c>
      <c r="D58" s="1">
        <v>35860</v>
      </c>
      <c r="E58" t="s">
        <v>27</v>
      </c>
      <c r="F58" t="s">
        <v>28</v>
      </c>
      <c r="H58" s="37">
        <v>126</v>
      </c>
      <c r="I58" t="s">
        <v>19</v>
      </c>
      <c r="J58" t="s">
        <v>72</v>
      </c>
      <c r="K58" t="s">
        <v>203</v>
      </c>
      <c r="M58" s="37">
        <v>225933435</v>
      </c>
      <c r="N58" s="37">
        <v>837379</v>
      </c>
      <c r="O58" s="38">
        <v>7.8</v>
      </c>
    </row>
    <row r="59" spans="1:15" x14ac:dyDescent="0.25">
      <c r="A59" t="s">
        <v>204</v>
      </c>
      <c r="B59">
        <v>1</v>
      </c>
      <c r="C59" t="s">
        <v>205</v>
      </c>
      <c r="D59" s="1">
        <v>36098</v>
      </c>
      <c r="E59" t="s">
        <v>27</v>
      </c>
      <c r="F59" t="s">
        <v>24</v>
      </c>
      <c r="H59" s="37">
        <v>169</v>
      </c>
      <c r="I59" t="s">
        <v>19</v>
      </c>
      <c r="J59" t="s">
        <v>72</v>
      </c>
      <c r="K59" t="s">
        <v>127</v>
      </c>
      <c r="M59" s="37">
        <v>482349603</v>
      </c>
      <c r="N59" s="37">
        <v>1203825</v>
      </c>
      <c r="O59" s="38">
        <v>8.6</v>
      </c>
    </row>
    <row r="60" spans="1:15" x14ac:dyDescent="0.25">
      <c r="A60" t="s">
        <v>206</v>
      </c>
      <c r="B60">
        <v>1</v>
      </c>
      <c r="C60" t="s">
        <v>207</v>
      </c>
      <c r="D60" s="1">
        <v>36287</v>
      </c>
      <c r="E60" t="s">
        <v>55</v>
      </c>
      <c r="F60" t="s">
        <v>90</v>
      </c>
      <c r="H60" s="37">
        <v>136</v>
      </c>
      <c r="I60" t="s">
        <v>19</v>
      </c>
      <c r="J60" t="s">
        <v>72</v>
      </c>
      <c r="K60" t="s">
        <v>208</v>
      </c>
      <c r="L60" t="s">
        <v>209</v>
      </c>
      <c r="M60" s="37">
        <v>465718588</v>
      </c>
      <c r="N60" s="37">
        <v>1632315</v>
      </c>
      <c r="O60" s="38">
        <v>8.6999999999999993</v>
      </c>
    </row>
    <row r="61" spans="1:15" x14ac:dyDescent="0.25">
      <c r="A61" t="s">
        <v>210</v>
      </c>
      <c r="B61">
        <v>1</v>
      </c>
      <c r="C61" t="s">
        <v>211</v>
      </c>
      <c r="D61" s="1">
        <v>36399</v>
      </c>
      <c r="E61" t="s">
        <v>27</v>
      </c>
      <c r="H61" s="37">
        <v>119</v>
      </c>
      <c r="I61" t="s">
        <v>19</v>
      </c>
      <c r="J61" t="s">
        <v>72</v>
      </c>
      <c r="K61" t="s">
        <v>212</v>
      </c>
      <c r="M61" s="37">
        <v>23875127</v>
      </c>
      <c r="N61" s="37">
        <v>1014218</v>
      </c>
      <c r="O61" s="38">
        <v>8.5</v>
      </c>
    </row>
    <row r="62" spans="1:15" x14ac:dyDescent="0.25">
      <c r="A62" t="s">
        <v>213</v>
      </c>
      <c r="B62">
        <v>1</v>
      </c>
      <c r="C62" t="s">
        <v>214</v>
      </c>
      <c r="D62" s="1">
        <v>36462</v>
      </c>
      <c r="E62" t="s">
        <v>27</v>
      </c>
      <c r="H62" s="37">
        <v>139</v>
      </c>
      <c r="I62" t="s">
        <v>76</v>
      </c>
      <c r="J62" t="s">
        <v>72</v>
      </c>
      <c r="K62" t="s">
        <v>194</v>
      </c>
      <c r="M62" s="37">
        <v>101218804</v>
      </c>
      <c r="N62" s="37">
        <v>1807440</v>
      </c>
      <c r="O62" s="38">
        <v>8.8000000000000007</v>
      </c>
    </row>
    <row r="63" spans="1:15" x14ac:dyDescent="0.25">
      <c r="A63" t="s">
        <v>215</v>
      </c>
      <c r="B63">
        <v>1</v>
      </c>
      <c r="C63" t="s">
        <v>216</v>
      </c>
      <c r="D63" s="1">
        <v>36546</v>
      </c>
      <c r="E63" t="s">
        <v>27</v>
      </c>
      <c r="H63" s="37">
        <v>122</v>
      </c>
      <c r="I63" t="s">
        <v>19</v>
      </c>
      <c r="J63" t="s">
        <v>72</v>
      </c>
      <c r="K63" t="s">
        <v>217</v>
      </c>
      <c r="M63" s="37">
        <v>356296601</v>
      </c>
      <c r="N63" s="37">
        <v>1049009</v>
      </c>
      <c r="O63" s="38">
        <v>8</v>
      </c>
    </row>
    <row r="64" spans="1:15" x14ac:dyDescent="0.25">
      <c r="A64" t="s">
        <v>218</v>
      </c>
      <c r="B64">
        <v>1</v>
      </c>
      <c r="C64" t="s">
        <v>219</v>
      </c>
      <c r="D64" s="1">
        <v>36665</v>
      </c>
      <c r="E64" t="s">
        <v>154</v>
      </c>
      <c r="F64" t="s">
        <v>56</v>
      </c>
      <c r="G64" t="s">
        <v>33</v>
      </c>
      <c r="H64" s="37">
        <v>134</v>
      </c>
      <c r="I64" t="s">
        <v>57</v>
      </c>
      <c r="J64" t="s">
        <v>93</v>
      </c>
      <c r="K64" t="s">
        <v>220</v>
      </c>
      <c r="M64" s="37">
        <v>169785629</v>
      </c>
      <c r="N64" s="37">
        <v>331045</v>
      </c>
      <c r="O64" s="38">
        <v>8</v>
      </c>
    </row>
    <row r="65" spans="1:15" x14ac:dyDescent="0.25">
      <c r="A65" t="s">
        <v>221</v>
      </c>
      <c r="B65">
        <v>1</v>
      </c>
      <c r="C65" t="s">
        <v>222</v>
      </c>
      <c r="D65" s="1">
        <v>36665</v>
      </c>
      <c r="E65" t="s">
        <v>55</v>
      </c>
      <c r="F65" t="s">
        <v>56</v>
      </c>
      <c r="G65" t="s">
        <v>17</v>
      </c>
      <c r="H65" s="37">
        <v>155</v>
      </c>
      <c r="I65" t="s">
        <v>19</v>
      </c>
      <c r="J65" t="s">
        <v>72</v>
      </c>
      <c r="K65" t="s">
        <v>116</v>
      </c>
      <c r="M65" s="37">
        <v>465361176</v>
      </c>
      <c r="N65" s="37">
        <v>1308193</v>
      </c>
      <c r="O65" s="38">
        <v>8.5</v>
      </c>
    </row>
    <row r="66" spans="1:15" x14ac:dyDescent="0.25">
      <c r="A66" t="s">
        <v>223</v>
      </c>
      <c r="B66">
        <v>1</v>
      </c>
      <c r="C66" t="s">
        <v>224</v>
      </c>
      <c r="D66" s="1">
        <v>36802</v>
      </c>
      <c r="E66" t="s">
        <v>62</v>
      </c>
      <c r="F66" t="s">
        <v>17</v>
      </c>
      <c r="G66" t="s">
        <v>33</v>
      </c>
      <c r="H66" s="37">
        <v>189</v>
      </c>
      <c r="I66" t="s">
        <v>19</v>
      </c>
      <c r="J66" t="s">
        <v>72</v>
      </c>
      <c r="K66" t="s">
        <v>181</v>
      </c>
      <c r="M66" s="37">
        <v>286801374</v>
      </c>
      <c r="N66" s="37">
        <v>1112336</v>
      </c>
      <c r="O66" s="38">
        <v>8.6</v>
      </c>
    </row>
    <row r="67" spans="1:15" x14ac:dyDescent="0.25">
      <c r="A67" t="s">
        <v>225</v>
      </c>
      <c r="B67">
        <v>1</v>
      </c>
      <c r="C67" t="s">
        <v>226</v>
      </c>
      <c r="D67" s="1">
        <v>36875</v>
      </c>
      <c r="E67" t="s">
        <v>27</v>
      </c>
      <c r="H67" s="37">
        <v>102</v>
      </c>
      <c r="I67" t="s">
        <v>19</v>
      </c>
      <c r="J67" t="s">
        <v>72</v>
      </c>
      <c r="K67" t="s">
        <v>227</v>
      </c>
      <c r="M67" s="37">
        <v>7390108</v>
      </c>
      <c r="N67" s="37">
        <v>748291</v>
      </c>
      <c r="O67" s="38">
        <v>7.8</v>
      </c>
    </row>
    <row r="68" spans="1:15" x14ac:dyDescent="0.25">
      <c r="A68" t="s">
        <v>228</v>
      </c>
      <c r="B68">
        <v>1</v>
      </c>
      <c r="C68" t="s">
        <v>229</v>
      </c>
      <c r="D68" s="1">
        <v>36910</v>
      </c>
      <c r="E68" t="s">
        <v>50</v>
      </c>
      <c r="F68" t="s">
        <v>51</v>
      </c>
      <c r="H68" s="37">
        <v>113</v>
      </c>
      <c r="I68" t="s">
        <v>19</v>
      </c>
      <c r="J68" t="s">
        <v>72</v>
      </c>
      <c r="K68" t="s">
        <v>230</v>
      </c>
      <c r="M68" s="37">
        <v>39970386</v>
      </c>
      <c r="N68" s="37">
        <v>1098879</v>
      </c>
      <c r="O68" s="38">
        <v>8.1999999999999993</v>
      </c>
    </row>
    <row r="69" spans="1:15" x14ac:dyDescent="0.25">
      <c r="A69" t="s">
        <v>231</v>
      </c>
      <c r="B69">
        <v>1</v>
      </c>
      <c r="C69" t="s">
        <v>232</v>
      </c>
      <c r="D69" s="1">
        <v>36966</v>
      </c>
      <c r="E69" t="s">
        <v>16</v>
      </c>
      <c r="F69" t="s">
        <v>101</v>
      </c>
      <c r="H69" s="37">
        <v>104</v>
      </c>
      <c r="I69" t="s">
        <v>76</v>
      </c>
      <c r="J69" t="s">
        <v>72</v>
      </c>
      <c r="K69" t="s">
        <v>233</v>
      </c>
      <c r="M69" s="37">
        <v>83557872</v>
      </c>
      <c r="N69" s="37">
        <v>766589</v>
      </c>
      <c r="O69" s="38">
        <v>7.8</v>
      </c>
    </row>
    <row r="70" spans="1:15" x14ac:dyDescent="0.25">
      <c r="A70" t="s">
        <v>234</v>
      </c>
      <c r="B70">
        <v>1</v>
      </c>
      <c r="C70" t="s">
        <v>235</v>
      </c>
      <c r="D70" s="1">
        <v>37274</v>
      </c>
      <c r="E70" t="s">
        <v>55</v>
      </c>
      <c r="F70" t="s">
        <v>56</v>
      </c>
      <c r="G70" t="s">
        <v>17</v>
      </c>
      <c r="H70" s="37">
        <v>178</v>
      </c>
      <c r="I70" t="s">
        <v>236</v>
      </c>
      <c r="J70" t="s">
        <v>93</v>
      </c>
      <c r="K70" t="s">
        <v>237</v>
      </c>
      <c r="M70" s="37">
        <v>887934303</v>
      </c>
      <c r="N70" s="37">
        <v>1619920</v>
      </c>
      <c r="O70" s="38">
        <v>8.8000000000000007</v>
      </c>
    </row>
    <row r="71" spans="1:15" x14ac:dyDescent="0.25">
      <c r="A71" t="s">
        <v>238</v>
      </c>
      <c r="B71">
        <v>1</v>
      </c>
      <c r="C71" t="s">
        <v>239</v>
      </c>
      <c r="D71" s="1">
        <v>37281</v>
      </c>
      <c r="E71" t="s">
        <v>16</v>
      </c>
      <c r="F71" t="s">
        <v>28</v>
      </c>
      <c r="H71" s="37">
        <v>122</v>
      </c>
      <c r="I71" t="s">
        <v>184</v>
      </c>
      <c r="J71" t="s">
        <v>72</v>
      </c>
      <c r="K71" t="s">
        <v>240</v>
      </c>
      <c r="M71" s="37">
        <v>173924742</v>
      </c>
      <c r="N71" s="37">
        <v>690480</v>
      </c>
      <c r="O71" s="38">
        <v>7.7</v>
      </c>
    </row>
    <row r="72" spans="1:15" x14ac:dyDescent="0.25">
      <c r="A72" t="s">
        <v>241</v>
      </c>
      <c r="B72">
        <v>1</v>
      </c>
      <c r="C72" t="s">
        <v>242</v>
      </c>
      <c r="D72" s="1">
        <v>37554</v>
      </c>
      <c r="E72" t="s">
        <v>142</v>
      </c>
      <c r="F72" t="s">
        <v>17</v>
      </c>
      <c r="G72" t="s">
        <v>243</v>
      </c>
      <c r="H72" s="37">
        <v>150</v>
      </c>
      <c r="I72" t="s">
        <v>76</v>
      </c>
      <c r="J72" t="s">
        <v>72</v>
      </c>
      <c r="K72" t="s">
        <v>244</v>
      </c>
      <c r="M72" s="37">
        <v>120072577</v>
      </c>
      <c r="N72" s="37">
        <v>707942</v>
      </c>
      <c r="O72" s="38">
        <v>8.4</v>
      </c>
    </row>
    <row r="73" spans="1:15" x14ac:dyDescent="0.25">
      <c r="A73" t="s">
        <v>245</v>
      </c>
      <c r="B73">
        <v>1</v>
      </c>
      <c r="C73" t="s">
        <v>246</v>
      </c>
      <c r="D73" s="1">
        <v>37637</v>
      </c>
      <c r="E73" t="s">
        <v>55</v>
      </c>
      <c r="F73" t="s">
        <v>56</v>
      </c>
      <c r="G73" t="s">
        <v>17</v>
      </c>
      <c r="H73" s="37">
        <v>179</v>
      </c>
      <c r="I73" t="s">
        <v>236</v>
      </c>
      <c r="J73" t="s">
        <v>93</v>
      </c>
      <c r="K73" t="s">
        <v>237</v>
      </c>
      <c r="M73" s="37">
        <v>951227416</v>
      </c>
      <c r="N73" s="37">
        <v>1449778</v>
      </c>
      <c r="O73" s="38">
        <v>8.6999999999999993</v>
      </c>
    </row>
    <row r="74" spans="1:15" x14ac:dyDescent="0.25">
      <c r="A74" t="s">
        <v>247</v>
      </c>
      <c r="B74">
        <v>1</v>
      </c>
      <c r="C74" t="s">
        <v>248</v>
      </c>
      <c r="D74" s="1">
        <v>37729</v>
      </c>
      <c r="E74" t="s">
        <v>154</v>
      </c>
      <c r="F74" t="s">
        <v>56</v>
      </c>
      <c r="G74" t="s">
        <v>18</v>
      </c>
      <c r="H74" s="37">
        <v>125</v>
      </c>
      <c r="I74" t="s">
        <v>57</v>
      </c>
      <c r="J74" t="s">
        <v>29</v>
      </c>
      <c r="K74" t="s">
        <v>220</v>
      </c>
      <c r="M74" s="37">
        <v>355467056</v>
      </c>
      <c r="N74" s="37">
        <v>626693</v>
      </c>
      <c r="O74" s="38">
        <v>8.6</v>
      </c>
    </row>
    <row r="75" spans="1:15" x14ac:dyDescent="0.25">
      <c r="A75" t="s">
        <v>249</v>
      </c>
      <c r="B75">
        <v>1</v>
      </c>
      <c r="C75" t="s">
        <v>250</v>
      </c>
      <c r="D75" s="1">
        <v>37750</v>
      </c>
      <c r="E75" t="s">
        <v>62</v>
      </c>
      <c r="F75" t="s">
        <v>17</v>
      </c>
      <c r="H75" s="37">
        <v>130</v>
      </c>
      <c r="I75" t="s">
        <v>251</v>
      </c>
      <c r="J75" t="s">
        <v>72</v>
      </c>
      <c r="K75" t="s">
        <v>252</v>
      </c>
      <c r="L75" t="s">
        <v>253</v>
      </c>
      <c r="M75" s="37">
        <v>30680793</v>
      </c>
      <c r="N75" s="37">
        <v>685856</v>
      </c>
      <c r="O75" s="38">
        <v>8.6</v>
      </c>
    </row>
    <row r="76" spans="1:15" x14ac:dyDescent="0.25">
      <c r="A76" t="s">
        <v>254</v>
      </c>
      <c r="B76">
        <v>1</v>
      </c>
      <c r="C76" t="s">
        <v>255</v>
      </c>
      <c r="D76" s="1">
        <v>38039</v>
      </c>
      <c r="E76" t="s">
        <v>55</v>
      </c>
      <c r="F76" t="s">
        <v>56</v>
      </c>
      <c r="G76" t="s">
        <v>17</v>
      </c>
      <c r="H76" s="37">
        <v>201</v>
      </c>
      <c r="I76" t="s">
        <v>236</v>
      </c>
      <c r="J76" t="s">
        <v>93</v>
      </c>
      <c r="K76" t="s">
        <v>237</v>
      </c>
      <c r="M76" s="37">
        <v>1142271098</v>
      </c>
      <c r="N76" s="37">
        <v>1604280</v>
      </c>
      <c r="O76" s="38">
        <v>8.9</v>
      </c>
    </row>
    <row r="77" spans="1:15" x14ac:dyDescent="0.25">
      <c r="A77" t="s">
        <v>256</v>
      </c>
      <c r="B77">
        <v>1</v>
      </c>
      <c r="C77" t="s">
        <v>257</v>
      </c>
      <c r="D77" s="1">
        <v>38282</v>
      </c>
      <c r="E77" t="s">
        <v>27</v>
      </c>
      <c r="F77" t="s">
        <v>28</v>
      </c>
      <c r="G77" t="s">
        <v>90</v>
      </c>
      <c r="H77" s="37">
        <v>108</v>
      </c>
      <c r="I77" t="s">
        <v>19</v>
      </c>
      <c r="J77" t="s">
        <v>72</v>
      </c>
      <c r="K77" t="s">
        <v>258</v>
      </c>
      <c r="M77" s="37">
        <v>74036715</v>
      </c>
      <c r="N77" s="37">
        <v>889875</v>
      </c>
      <c r="O77" s="38">
        <v>7.9</v>
      </c>
    </row>
    <row r="78" spans="1:15" x14ac:dyDescent="0.25">
      <c r="A78" t="s">
        <v>259</v>
      </c>
      <c r="B78">
        <v>1</v>
      </c>
      <c r="C78" t="s">
        <v>260</v>
      </c>
      <c r="D78" s="1">
        <v>38478</v>
      </c>
      <c r="E78" t="s">
        <v>55</v>
      </c>
      <c r="F78" t="s">
        <v>17</v>
      </c>
      <c r="G78" t="s">
        <v>37</v>
      </c>
      <c r="H78" s="37">
        <v>120</v>
      </c>
      <c r="I78" t="s">
        <v>261</v>
      </c>
      <c r="J78" t="s">
        <v>72</v>
      </c>
      <c r="K78" t="s">
        <v>262</v>
      </c>
      <c r="M78" s="37">
        <v>15002116</v>
      </c>
      <c r="N78" s="37">
        <v>501082</v>
      </c>
      <c r="O78" s="38">
        <v>8.1</v>
      </c>
    </row>
    <row r="79" spans="1:15" x14ac:dyDescent="0.25">
      <c r="A79" t="s">
        <v>263</v>
      </c>
      <c r="B79">
        <v>1</v>
      </c>
      <c r="C79" t="s">
        <v>264</v>
      </c>
      <c r="D79" s="1">
        <v>39017</v>
      </c>
      <c r="E79" t="s">
        <v>62</v>
      </c>
      <c r="F79" t="s">
        <v>17</v>
      </c>
      <c r="G79" t="s">
        <v>51</v>
      </c>
      <c r="H79" s="37">
        <v>151</v>
      </c>
      <c r="I79" t="s">
        <v>19</v>
      </c>
      <c r="J79" t="s">
        <v>72</v>
      </c>
      <c r="K79" t="s">
        <v>110</v>
      </c>
      <c r="M79" s="37">
        <v>291465034</v>
      </c>
      <c r="N79" s="37">
        <v>1159703</v>
      </c>
      <c r="O79" s="38">
        <v>8.5</v>
      </c>
    </row>
    <row r="80" spans="1:15" x14ac:dyDescent="0.25">
      <c r="A80" t="s">
        <v>265</v>
      </c>
      <c r="B80">
        <v>1</v>
      </c>
      <c r="C80" t="s">
        <v>266</v>
      </c>
      <c r="D80" s="1">
        <v>39073</v>
      </c>
      <c r="E80" t="s">
        <v>27</v>
      </c>
      <c r="F80" t="s">
        <v>37</v>
      </c>
      <c r="G80" t="s">
        <v>90</v>
      </c>
      <c r="H80" s="37">
        <v>130</v>
      </c>
      <c r="I80" t="s">
        <v>76</v>
      </c>
      <c r="J80" t="s">
        <v>93</v>
      </c>
      <c r="K80" t="s">
        <v>230</v>
      </c>
      <c r="M80" s="37">
        <v>109676311</v>
      </c>
      <c r="N80" s="37">
        <v>1155723</v>
      </c>
      <c r="O80" s="38">
        <v>8.5</v>
      </c>
    </row>
    <row r="81" spans="1:15" x14ac:dyDescent="0.25">
      <c r="A81" t="s">
        <v>267</v>
      </c>
      <c r="B81">
        <v>1</v>
      </c>
      <c r="C81" t="s">
        <v>268</v>
      </c>
      <c r="D81" s="1">
        <v>39178</v>
      </c>
      <c r="E81" t="s">
        <v>27</v>
      </c>
      <c r="F81" t="s">
        <v>37</v>
      </c>
      <c r="G81" t="s">
        <v>51</v>
      </c>
      <c r="H81" s="37">
        <v>137</v>
      </c>
      <c r="I81" t="s">
        <v>130</v>
      </c>
      <c r="J81" t="s">
        <v>72</v>
      </c>
      <c r="K81" t="s">
        <v>269</v>
      </c>
      <c r="M81" s="37">
        <v>77356942</v>
      </c>
      <c r="N81" s="37">
        <v>349642</v>
      </c>
      <c r="O81" s="38">
        <v>8.1</v>
      </c>
    </row>
    <row r="82" spans="1:15" x14ac:dyDescent="0.25">
      <c r="A82" t="s">
        <v>270</v>
      </c>
      <c r="B82">
        <v>1</v>
      </c>
      <c r="C82" t="s">
        <v>271</v>
      </c>
      <c r="D82" s="1">
        <v>39652</v>
      </c>
      <c r="E82" t="s">
        <v>55</v>
      </c>
      <c r="F82" t="s">
        <v>101</v>
      </c>
      <c r="G82" t="s">
        <v>17</v>
      </c>
      <c r="H82" s="37">
        <v>152</v>
      </c>
      <c r="I82" t="s">
        <v>19</v>
      </c>
      <c r="J82" t="s">
        <v>93</v>
      </c>
      <c r="K82" t="s">
        <v>230</v>
      </c>
      <c r="M82" s="37">
        <v>1005455211</v>
      </c>
      <c r="N82" s="37">
        <v>2241615</v>
      </c>
      <c r="O82" s="38">
        <v>9</v>
      </c>
    </row>
    <row r="83" spans="1:15" x14ac:dyDescent="0.25">
      <c r="A83" t="s">
        <v>272</v>
      </c>
      <c r="B83">
        <v>1</v>
      </c>
      <c r="C83" t="s">
        <v>273</v>
      </c>
      <c r="D83" s="1">
        <v>39738</v>
      </c>
      <c r="E83" t="s">
        <v>154</v>
      </c>
      <c r="F83" t="s">
        <v>56</v>
      </c>
      <c r="G83" t="s">
        <v>18</v>
      </c>
      <c r="H83" s="37">
        <v>98</v>
      </c>
      <c r="I83" t="s">
        <v>19</v>
      </c>
      <c r="J83" t="s">
        <v>20</v>
      </c>
      <c r="K83" t="s">
        <v>274</v>
      </c>
      <c r="M83" s="37">
        <v>521311860</v>
      </c>
      <c r="N83" s="37">
        <v>974734</v>
      </c>
      <c r="O83" s="38">
        <v>8.1999999999999993</v>
      </c>
    </row>
    <row r="84" spans="1:15" x14ac:dyDescent="0.25">
      <c r="A84" t="s">
        <v>275</v>
      </c>
      <c r="B84">
        <v>1</v>
      </c>
      <c r="C84" t="s">
        <v>276</v>
      </c>
      <c r="D84" s="1">
        <v>40088</v>
      </c>
      <c r="E84" t="s">
        <v>68</v>
      </c>
      <c r="F84" t="s">
        <v>17</v>
      </c>
      <c r="G84" t="s">
        <v>24</v>
      </c>
      <c r="H84" s="37">
        <v>153</v>
      </c>
      <c r="I84" t="s">
        <v>130</v>
      </c>
      <c r="J84" t="s">
        <v>72</v>
      </c>
      <c r="K84" t="s">
        <v>168</v>
      </c>
      <c r="M84" s="37">
        <v>321455689</v>
      </c>
      <c r="N84" s="37">
        <v>1229958</v>
      </c>
      <c r="O84" s="38">
        <v>8</v>
      </c>
    </row>
    <row r="85" spans="1:15" x14ac:dyDescent="0.25">
      <c r="A85" t="s">
        <v>277</v>
      </c>
      <c r="B85">
        <v>1</v>
      </c>
      <c r="C85" t="s">
        <v>278</v>
      </c>
      <c r="D85" s="1">
        <v>40172</v>
      </c>
      <c r="E85" t="s">
        <v>16</v>
      </c>
      <c r="F85" t="s">
        <v>17</v>
      </c>
      <c r="H85" s="37">
        <v>170</v>
      </c>
      <c r="I85" t="s">
        <v>279</v>
      </c>
      <c r="J85" t="s">
        <v>93</v>
      </c>
      <c r="K85" t="s">
        <v>280</v>
      </c>
      <c r="M85" s="37">
        <v>60262836</v>
      </c>
      <c r="N85" s="37">
        <v>332217</v>
      </c>
      <c r="O85" s="38">
        <v>8.1</v>
      </c>
    </row>
    <row r="86" spans="1:15" x14ac:dyDescent="0.25">
      <c r="A86" t="s">
        <v>281</v>
      </c>
      <c r="B86">
        <v>1</v>
      </c>
      <c r="C86" t="s">
        <v>282</v>
      </c>
      <c r="D86" s="1">
        <v>40366</v>
      </c>
      <c r="E86" t="s">
        <v>154</v>
      </c>
      <c r="F86" t="s">
        <v>56</v>
      </c>
      <c r="G86" t="s">
        <v>146</v>
      </c>
      <c r="H86" s="37">
        <v>103</v>
      </c>
      <c r="I86" t="s">
        <v>19</v>
      </c>
      <c r="J86" t="s">
        <v>20</v>
      </c>
      <c r="K86" t="s">
        <v>283</v>
      </c>
      <c r="M86" s="37">
        <v>1066969703</v>
      </c>
      <c r="N86" s="37">
        <v>739717</v>
      </c>
      <c r="O86" s="38">
        <v>7.8</v>
      </c>
    </row>
    <row r="87" spans="1:15" x14ac:dyDescent="0.25">
      <c r="A87" t="s">
        <v>284</v>
      </c>
      <c r="B87">
        <v>1</v>
      </c>
      <c r="C87" t="s">
        <v>285</v>
      </c>
      <c r="D87" s="1">
        <v>40445</v>
      </c>
      <c r="E87" t="s">
        <v>55</v>
      </c>
      <c r="F87" t="s">
        <v>56</v>
      </c>
      <c r="G87" t="s">
        <v>90</v>
      </c>
      <c r="H87" s="37">
        <v>148</v>
      </c>
      <c r="I87" t="s">
        <v>19</v>
      </c>
      <c r="J87" t="s">
        <v>93</v>
      </c>
      <c r="K87" t="s">
        <v>230</v>
      </c>
      <c r="M87" s="37">
        <v>869784991</v>
      </c>
      <c r="N87" s="37">
        <v>2002816</v>
      </c>
      <c r="O87" s="38">
        <v>8.8000000000000007</v>
      </c>
    </row>
    <row r="88" spans="1:15" x14ac:dyDescent="0.25">
      <c r="A88" t="s">
        <v>286</v>
      </c>
      <c r="B88">
        <v>1</v>
      </c>
      <c r="C88" t="s">
        <v>287</v>
      </c>
      <c r="D88" s="1">
        <v>40598</v>
      </c>
      <c r="E88" t="s">
        <v>142</v>
      </c>
      <c r="F88" t="s">
        <v>146</v>
      </c>
      <c r="G88" t="s">
        <v>17</v>
      </c>
      <c r="H88" s="37">
        <v>112</v>
      </c>
      <c r="I88" t="s">
        <v>184</v>
      </c>
      <c r="J88" t="s">
        <v>72</v>
      </c>
      <c r="K88" t="s">
        <v>288</v>
      </c>
      <c r="L88" t="s">
        <v>289</v>
      </c>
      <c r="M88" s="37">
        <v>426588510</v>
      </c>
      <c r="N88" s="37">
        <v>736691</v>
      </c>
      <c r="O88" s="38">
        <v>8.4</v>
      </c>
    </row>
    <row r="89" spans="1:15" x14ac:dyDescent="0.25">
      <c r="A89" t="s">
        <v>290</v>
      </c>
      <c r="B89">
        <v>1</v>
      </c>
      <c r="C89" t="s">
        <v>291</v>
      </c>
      <c r="D89" s="1">
        <v>40837</v>
      </c>
      <c r="E89" t="s">
        <v>27</v>
      </c>
      <c r="H89" s="37">
        <v>123</v>
      </c>
      <c r="I89" t="s">
        <v>292</v>
      </c>
      <c r="J89" t="s">
        <v>93</v>
      </c>
      <c r="K89" t="s">
        <v>293</v>
      </c>
      <c r="M89" s="37">
        <v>22926076</v>
      </c>
      <c r="N89" s="37">
        <v>214165</v>
      </c>
      <c r="O89" s="38">
        <v>7.4</v>
      </c>
    </row>
    <row r="90" spans="1:15" x14ac:dyDescent="0.25">
      <c r="A90" t="s">
        <v>294</v>
      </c>
      <c r="B90">
        <v>1</v>
      </c>
      <c r="C90" t="s">
        <v>295</v>
      </c>
      <c r="D90" s="1">
        <v>41150</v>
      </c>
      <c r="E90" t="s">
        <v>55</v>
      </c>
      <c r="F90" t="s">
        <v>56</v>
      </c>
      <c r="H90" s="37">
        <v>164</v>
      </c>
      <c r="I90" t="s">
        <v>76</v>
      </c>
      <c r="J90" t="s">
        <v>93</v>
      </c>
      <c r="K90" t="s">
        <v>230</v>
      </c>
      <c r="M90" s="37">
        <v>1081133191</v>
      </c>
      <c r="N90" s="37">
        <v>1480582</v>
      </c>
      <c r="O90" s="38">
        <v>8.3000000000000007</v>
      </c>
    </row>
    <row r="91" spans="1:15" x14ac:dyDescent="0.25">
      <c r="A91" t="s">
        <v>296</v>
      </c>
      <c r="B91">
        <v>1</v>
      </c>
      <c r="C91" t="s">
        <v>297</v>
      </c>
      <c r="D91" s="1">
        <v>41235</v>
      </c>
      <c r="E91" t="s">
        <v>27</v>
      </c>
      <c r="H91" s="37">
        <v>115</v>
      </c>
      <c r="I91" t="s">
        <v>298</v>
      </c>
      <c r="J91" t="s">
        <v>72</v>
      </c>
      <c r="K91" t="s">
        <v>299</v>
      </c>
      <c r="M91" s="37">
        <v>15843274</v>
      </c>
      <c r="N91" s="37">
        <v>269616</v>
      </c>
      <c r="O91" s="38">
        <v>7.5</v>
      </c>
    </row>
    <row r="92" spans="1:15" x14ac:dyDescent="0.25">
      <c r="A92" t="s">
        <v>300</v>
      </c>
      <c r="B92">
        <v>1</v>
      </c>
      <c r="C92" t="s">
        <v>301</v>
      </c>
      <c r="D92" s="1">
        <v>41291</v>
      </c>
      <c r="E92" t="s">
        <v>27</v>
      </c>
      <c r="F92" t="s">
        <v>302</v>
      </c>
      <c r="H92" s="37">
        <v>165</v>
      </c>
      <c r="I92" t="s">
        <v>19</v>
      </c>
      <c r="J92" t="s">
        <v>72</v>
      </c>
      <c r="K92" t="s">
        <v>168</v>
      </c>
      <c r="M92" s="37">
        <v>425368238</v>
      </c>
      <c r="N92" s="37">
        <v>1317856</v>
      </c>
      <c r="O92" s="38">
        <v>8.3000000000000007</v>
      </c>
    </row>
    <row r="93" spans="1:15" x14ac:dyDescent="0.25">
      <c r="A93" t="s">
        <v>303</v>
      </c>
      <c r="B93">
        <v>1</v>
      </c>
      <c r="C93" t="s">
        <v>304</v>
      </c>
      <c r="D93" s="1">
        <v>41949</v>
      </c>
      <c r="E93" t="s">
        <v>68</v>
      </c>
      <c r="F93" t="s">
        <v>17</v>
      </c>
      <c r="G93" t="s">
        <v>90</v>
      </c>
      <c r="H93" s="37">
        <v>169</v>
      </c>
      <c r="I93" t="s">
        <v>19</v>
      </c>
      <c r="J93" t="s">
        <v>93</v>
      </c>
      <c r="K93" t="s">
        <v>230</v>
      </c>
      <c r="M93" s="37">
        <v>696742056</v>
      </c>
      <c r="N93" s="37">
        <v>1449256</v>
      </c>
      <c r="O93" s="38">
        <v>8.6</v>
      </c>
    </row>
    <row r="94" spans="1:15" x14ac:dyDescent="0.25">
      <c r="A94" t="s">
        <v>305</v>
      </c>
      <c r="B94">
        <v>1</v>
      </c>
      <c r="C94" t="s">
        <v>306</v>
      </c>
      <c r="D94" s="1">
        <v>42047</v>
      </c>
      <c r="E94" t="s">
        <v>27</v>
      </c>
      <c r="F94" t="s">
        <v>243</v>
      </c>
      <c r="H94" s="37">
        <v>106</v>
      </c>
      <c r="I94" t="s">
        <v>19</v>
      </c>
      <c r="J94" t="s">
        <v>72</v>
      </c>
      <c r="K94" t="s">
        <v>307</v>
      </c>
      <c r="M94" s="37">
        <v>48983260</v>
      </c>
      <c r="N94" s="37">
        <v>690732</v>
      </c>
      <c r="O94" s="38">
        <v>8.4</v>
      </c>
    </row>
    <row r="95" spans="1:15" x14ac:dyDescent="0.25">
      <c r="A95" t="s">
        <v>308</v>
      </c>
      <c r="B95">
        <v>1</v>
      </c>
      <c r="C95" t="s">
        <v>309</v>
      </c>
      <c r="D95" s="1">
        <v>43097</v>
      </c>
      <c r="E95" t="s">
        <v>154</v>
      </c>
      <c r="F95" t="s">
        <v>56</v>
      </c>
      <c r="G95" t="s">
        <v>18</v>
      </c>
      <c r="H95" s="37">
        <v>105</v>
      </c>
      <c r="I95" t="s">
        <v>19</v>
      </c>
      <c r="J95" t="s">
        <v>29</v>
      </c>
      <c r="K95" t="s">
        <v>283</v>
      </c>
      <c r="L95" t="s">
        <v>310</v>
      </c>
      <c r="M95" s="37">
        <v>807083670</v>
      </c>
      <c r="N95" s="37">
        <v>352455</v>
      </c>
      <c r="O95" s="38">
        <v>8.1</v>
      </c>
    </row>
    <row r="96" spans="1:15" x14ac:dyDescent="0.25">
      <c r="A96" t="s">
        <v>311</v>
      </c>
      <c r="B96">
        <v>1</v>
      </c>
      <c r="C96" t="s">
        <v>312</v>
      </c>
      <c r="D96" s="1">
        <v>43215</v>
      </c>
      <c r="E96" t="s">
        <v>55</v>
      </c>
      <c r="F96" t="s">
        <v>56</v>
      </c>
      <c r="G96" t="s">
        <v>90</v>
      </c>
      <c r="H96" s="37">
        <v>149</v>
      </c>
      <c r="I96" t="s">
        <v>19</v>
      </c>
      <c r="J96" t="s">
        <v>93</v>
      </c>
      <c r="K96" t="s">
        <v>313</v>
      </c>
      <c r="L96" t="s">
        <v>314</v>
      </c>
      <c r="M96" s="37">
        <v>2048359754</v>
      </c>
      <c r="N96" s="37">
        <v>796486</v>
      </c>
      <c r="O96" s="38">
        <v>8.1999999999999993</v>
      </c>
    </row>
    <row r="97" spans="1:15" x14ac:dyDescent="0.25">
      <c r="A97" t="s">
        <v>315</v>
      </c>
      <c r="B97">
        <v>1</v>
      </c>
      <c r="C97" t="s">
        <v>316</v>
      </c>
      <c r="D97" s="1">
        <v>43459</v>
      </c>
      <c r="E97" t="s">
        <v>154</v>
      </c>
      <c r="F97" t="s">
        <v>317</v>
      </c>
      <c r="G97" t="s">
        <v>56</v>
      </c>
      <c r="H97" s="37">
        <v>117</v>
      </c>
      <c r="I97" t="s">
        <v>19</v>
      </c>
      <c r="J97" t="s">
        <v>29</v>
      </c>
      <c r="K97" t="s">
        <v>318</v>
      </c>
      <c r="L97" t="s">
        <v>319</v>
      </c>
      <c r="M97" s="37">
        <v>375540831</v>
      </c>
      <c r="N97" s="37">
        <v>335892</v>
      </c>
      <c r="O97" s="38">
        <v>8.1</v>
      </c>
    </row>
    <row r="98" spans="1:15" x14ac:dyDescent="0.25">
      <c r="A98" t="s">
        <v>320</v>
      </c>
      <c r="B98">
        <v>1</v>
      </c>
      <c r="C98" t="s">
        <v>321</v>
      </c>
      <c r="D98" s="1">
        <v>43579</v>
      </c>
      <c r="E98" t="s">
        <v>55</v>
      </c>
      <c r="F98" t="s">
        <v>56</v>
      </c>
      <c r="G98" t="s">
        <v>17</v>
      </c>
      <c r="H98" s="37">
        <v>181</v>
      </c>
      <c r="I98" t="s">
        <v>19</v>
      </c>
      <c r="J98" t="s">
        <v>93</v>
      </c>
      <c r="K98" t="s">
        <v>313</v>
      </c>
      <c r="L98" t="s">
        <v>314</v>
      </c>
      <c r="M98" s="37">
        <v>2797800564</v>
      </c>
      <c r="N98" s="37">
        <v>754786</v>
      </c>
      <c r="O98" s="38">
        <v>8.1999999999999993</v>
      </c>
    </row>
    <row r="99" spans="1:15" x14ac:dyDescent="0.25">
      <c r="A99" t="s">
        <v>322</v>
      </c>
      <c r="B99">
        <v>1</v>
      </c>
      <c r="C99" t="s">
        <v>323</v>
      </c>
      <c r="D99" s="1">
        <v>43741</v>
      </c>
      <c r="E99" t="s">
        <v>62</v>
      </c>
      <c r="F99" t="s">
        <v>17</v>
      </c>
      <c r="G99" t="s">
        <v>51</v>
      </c>
      <c r="H99" s="37">
        <v>122</v>
      </c>
      <c r="I99" t="s">
        <v>19</v>
      </c>
      <c r="J99" t="s">
        <v>72</v>
      </c>
      <c r="K99" t="s">
        <v>324</v>
      </c>
      <c r="M99" s="37">
        <v>1074251311</v>
      </c>
      <c r="N99" s="37">
        <v>855097</v>
      </c>
      <c r="O99" s="38">
        <v>8.4</v>
      </c>
    </row>
    <row r="100" spans="1:15" x14ac:dyDescent="0.25">
      <c r="A100" t="s">
        <v>325</v>
      </c>
      <c r="B100">
        <v>1</v>
      </c>
      <c r="C100" t="s">
        <v>326</v>
      </c>
      <c r="D100" s="1">
        <v>43776</v>
      </c>
      <c r="E100" t="s">
        <v>16</v>
      </c>
      <c r="F100" t="s">
        <v>17</v>
      </c>
      <c r="G100" t="s">
        <v>51</v>
      </c>
      <c r="H100" s="37">
        <v>132</v>
      </c>
      <c r="I100" t="s">
        <v>261</v>
      </c>
      <c r="J100" t="s">
        <v>72</v>
      </c>
      <c r="K100" t="s">
        <v>327</v>
      </c>
      <c r="M100" s="37">
        <v>257604912</v>
      </c>
      <c r="N100" s="37">
        <v>470931</v>
      </c>
      <c r="O100" s="38">
        <v>8.6</v>
      </c>
    </row>
    <row r="101" spans="1:15" x14ac:dyDescent="0.25">
      <c r="A101" t="s">
        <v>328</v>
      </c>
      <c r="B101">
        <v>1</v>
      </c>
      <c r="C101" s="3">
        <v>1917</v>
      </c>
      <c r="D101" s="1">
        <v>43853</v>
      </c>
      <c r="E101" t="s">
        <v>27</v>
      </c>
      <c r="F101" t="s">
        <v>24</v>
      </c>
      <c r="H101" s="37">
        <v>119</v>
      </c>
      <c r="I101" t="s">
        <v>19</v>
      </c>
      <c r="J101" t="s">
        <v>72</v>
      </c>
      <c r="K101" t="s">
        <v>217</v>
      </c>
      <c r="M101" s="37">
        <v>384857224</v>
      </c>
      <c r="N101" s="37">
        <v>362897</v>
      </c>
      <c r="O101" s="38">
        <v>7.6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480B-F9BF-43D9-BC64-9AAA34C02F84}">
  <dimension ref="A3:L74"/>
  <sheetViews>
    <sheetView topLeftCell="A74" zoomScale="115" zoomScaleNormal="115" workbookViewId="0">
      <selection activeCell="C87" sqref="C87"/>
    </sheetView>
  </sheetViews>
  <sheetFormatPr defaultRowHeight="15" x14ac:dyDescent="0.25"/>
  <cols>
    <col min="1" max="1" width="13.140625" bestFit="1" customWidth="1"/>
    <col min="2" max="2" width="13.5703125" style="10" bestFit="1" customWidth="1"/>
    <col min="3" max="3" width="10.28515625" bestFit="1" customWidth="1"/>
    <col min="4" max="4" width="10.140625" bestFit="1" customWidth="1"/>
    <col min="5" max="5" width="9.85546875" bestFit="1" customWidth="1"/>
    <col min="6" max="6" width="8.5703125" bestFit="1" customWidth="1"/>
    <col min="7" max="7" width="8.7109375" bestFit="1" customWidth="1"/>
    <col min="8" max="8" width="11.28515625" bestFit="1" customWidth="1"/>
    <col min="9" max="9" width="6.85546875" bestFit="1" customWidth="1"/>
    <col min="10" max="10" width="8.140625" bestFit="1" customWidth="1"/>
    <col min="11" max="11" width="8.7109375" bestFit="1" customWidth="1"/>
    <col min="12" max="12" width="11.28515625" bestFit="1" customWidth="1"/>
  </cols>
  <sheetData>
    <row r="3" spans="1:2" x14ac:dyDescent="0.25">
      <c r="A3" s="4" t="s">
        <v>329</v>
      </c>
      <c r="B3" s="19" t="s">
        <v>339</v>
      </c>
    </row>
    <row r="4" spans="1:2" x14ac:dyDescent="0.25">
      <c r="A4" s="3" t="s">
        <v>83</v>
      </c>
      <c r="B4" s="13">
        <v>4.498155813045935E-2</v>
      </c>
    </row>
    <row r="5" spans="1:2" x14ac:dyDescent="0.25">
      <c r="A5" s="3" t="s">
        <v>50</v>
      </c>
      <c r="B5" s="13">
        <v>9.4496358574375286E-2</v>
      </c>
    </row>
    <row r="6" spans="1:2" x14ac:dyDescent="0.25">
      <c r="A6" s="3" t="s">
        <v>71</v>
      </c>
      <c r="B6" s="13">
        <v>0.23421434174674338</v>
      </c>
    </row>
    <row r="7" spans="1:2" x14ac:dyDescent="0.25">
      <c r="A7" s="3" t="s">
        <v>27</v>
      </c>
      <c r="B7" s="13">
        <v>0.45241571976302841</v>
      </c>
    </row>
    <row r="8" spans="1:2" x14ac:dyDescent="0.25">
      <c r="A8" s="3" t="s">
        <v>62</v>
      </c>
      <c r="B8" s="13">
        <v>0.69229887736765006</v>
      </c>
    </row>
    <row r="9" spans="1:2" x14ac:dyDescent="0.25">
      <c r="A9" s="3" t="s">
        <v>16</v>
      </c>
      <c r="B9" s="13">
        <v>0.3256776065406457</v>
      </c>
    </row>
    <row r="10" spans="1:2" x14ac:dyDescent="0.25">
      <c r="A10" s="3" t="s">
        <v>142</v>
      </c>
      <c r="B10" s="13">
        <v>0.65809142322235792</v>
      </c>
    </row>
    <row r="11" spans="1:2" x14ac:dyDescent="0.25">
      <c r="A11" s="3" t="s">
        <v>154</v>
      </c>
      <c r="B11" s="13">
        <v>1.7344830896047134</v>
      </c>
    </row>
    <row r="12" spans="1:2" x14ac:dyDescent="0.25">
      <c r="A12" s="3" t="s">
        <v>68</v>
      </c>
      <c r="B12" s="13">
        <v>0.73224593383410941</v>
      </c>
    </row>
    <row r="13" spans="1:2" x14ac:dyDescent="0.25">
      <c r="A13" s="3" t="s">
        <v>55</v>
      </c>
      <c r="B13" s="13">
        <v>2.5676088729690583</v>
      </c>
    </row>
    <row r="14" spans="1:2" x14ac:dyDescent="0.25">
      <c r="A14" s="3" t="s">
        <v>330</v>
      </c>
      <c r="B14" s="13">
        <v>1</v>
      </c>
    </row>
    <row r="21" spans="1:2" x14ac:dyDescent="0.25">
      <c r="A21" s="4" t="s">
        <v>329</v>
      </c>
      <c r="B21" t="s">
        <v>339</v>
      </c>
    </row>
    <row r="22" spans="1:2" x14ac:dyDescent="0.25">
      <c r="A22" s="3" t="s">
        <v>58</v>
      </c>
      <c r="B22" s="7">
        <v>9.364085475539152E-4</v>
      </c>
    </row>
    <row r="23" spans="1:2" x14ac:dyDescent="0.25">
      <c r="A23" s="3" t="s">
        <v>42</v>
      </c>
      <c r="B23" s="7">
        <v>2.8556099654483018E-2</v>
      </c>
    </row>
    <row r="24" spans="1:2" x14ac:dyDescent="0.25">
      <c r="A24" s="3" t="s">
        <v>72</v>
      </c>
      <c r="B24" s="7">
        <v>0.61195066129293896</v>
      </c>
    </row>
    <row r="25" spans="1:2" x14ac:dyDescent="0.25">
      <c r="A25" s="3" t="s">
        <v>29</v>
      </c>
      <c r="B25" s="7">
        <v>0.86512782284806622</v>
      </c>
    </row>
    <row r="26" spans="1:2" x14ac:dyDescent="0.25">
      <c r="A26" s="3" t="s">
        <v>20</v>
      </c>
      <c r="B26" s="7">
        <v>1.267586762141129</v>
      </c>
    </row>
    <row r="27" spans="1:2" x14ac:dyDescent="0.25">
      <c r="A27" s="3" t="s">
        <v>93</v>
      </c>
      <c r="B27" s="7">
        <v>2.6643918963326225</v>
      </c>
    </row>
    <row r="28" spans="1:2" x14ac:dyDescent="0.25">
      <c r="A28" s="3" t="s">
        <v>330</v>
      </c>
      <c r="B28" s="7">
        <v>1</v>
      </c>
    </row>
    <row r="36" spans="1:8" x14ac:dyDescent="0.25">
      <c r="A36" s="4" t="s">
        <v>338</v>
      </c>
      <c r="B36" s="4" t="s">
        <v>340</v>
      </c>
      <c r="C36" s="6"/>
      <c r="D36" s="6"/>
      <c r="E36" s="6"/>
      <c r="F36" s="6"/>
      <c r="G36" s="6"/>
      <c r="H36" s="6"/>
    </row>
    <row r="37" spans="1:8" x14ac:dyDescent="0.25">
      <c r="A37" s="12" t="s">
        <v>329</v>
      </c>
      <c r="B37" t="s">
        <v>55</v>
      </c>
      <c r="C37" t="s">
        <v>68</v>
      </c>
      <c r="D37" t="s">
        <v>154</v>
      </c>
      <c r="E37" t="s">
        <v>16</v>
      </c>
      <c r="F37" t="s">
        <v>27</v>
      </c>
      <c r="G37" t="s">
        <v>83</v>
      </c>
      <c r="H37" t="s">
        <v>330</v>
      </c>
    </row>
    <row r="38" spans="1:8" x14ac:dyDescent="0.25">
      <c r="A38" s="3" t="s">
        <v>20</v>
      </c>
      <c r="B38" s="13"/>
      <c r="C38" s="13">
        <v>0.23063747173132051</v>
      </c>
      <c r="D38" s="13">
        <v>2.4747630125169642</v>
      </c>
      <c r="E38" s="13">
        <v>3.6681917766184817E-3</v>
      </c>
      <c r="F38" s="13"/>
      <c r="G38" s="13"/>
      <c r="H38" s="13">
        <v>1.267586762141129</v>
      </c>
    </row>
    <row r="39" spans="1:8" x14ac:dyDescent="0.25">
      <c r="A39" s="3" t="s">
        <v>93</v>
      </c>
      <c r="B39" s="13">
        <v>4.5064558389785967</v>
      </c>
      <c r="C39" s="13">
        <v>2.3292633918109673</v>
      </c>
      <c r="D39" s="13">
        <v>0.5676066869792894</v>
      </c>
      <c r="E39" s="13">
        <v>0.48535079361260924</v>
      </c>
      <c r="F39" s="13">
        <v>0.90355816438016401</v>
      </c>
      <c r="G39" s="13">
        <v>3.7747033721869679E-4</v>
      </c>
      <c r="H39" s="13">
        <v>2.6643918963326225</v>
      </c>
    </row>
    <row r="40" spans="1:8" x14ac:dyDescent="0.25">
      <c r="A40" s="3" t="s">
        <v>330</v>
      </c>
      <c r="B40" s="13">
        <v>4.5064558389785967</v>
      </c>
      <c r="C40" s="13">
        <v>1.2799504317711441</v>
      </c>
      <c r="D40" s="13">
        <v>2.0933317474094291</v>
      </c>
      <c r="E40" s="13">
        <v>0.19634123251101479</v>
      </c>
      <c r="F40" s="13">
        <v>0.90355816438016401</v>
      </c>
      <c r="G40" s="13">
        <v>3.7747033721869679E-4</v>
      </c>
      <c r="H40" s="13">
        <v>2.1987901849354583</v>
      </c>
    </row>
    <row r="41" spans="1:8" x14ac:dyDescent="0.25">
      <c r="B41"/>
    </row>
    <row r="42" spans="1:8" x14ac:dyDescent="0.25">
      <c r="B42"/>
    </row>
    <row r="43" spans="1:8" x14ac:dyDescent="0.25">
      <c r="B43"/>
    </row>
    <row r="44" spans="1:8" x14ac:dyDescent="0.25">
      <c r="B44"/>
    </row>
    <row r="45" spans="1:8" x14ac:dyDescent="0.25">
      <c r="B45"/>
    </row>
    <row r="46" spans="1:8" x14ac:dyDescent="0.25">
      <c r="B46"/>
    </row>
    <row r="47" spans="1:8" x14ac:dyDescent="0.25">
      <c r="B47"/>
    </row>
    <row r="51" spans="1:12" x14ac:dyDescent="0.25">
      <c r="A51" s="23" t="s">
        <v>343</v>
      </c>
      <c r="B51" s="24" t="s">
        <v>342</v>
      </c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21" t="s">
        <v>8</v>
      </c>
      <c r="B52" s="22" t="s">
        <v>55</v>
      </c>
      <c r="C52" s="22" t="s">
        <v>68</v>
      </c>
      <c r="D52" s="22" t="s">
        <v>154</v>
      </c>
      <c r="E52" s="22" t="s">
        <v>142</v>
      </c>
      <c r="F52" s="22" t="s">
        <v>16</v>
      </c>
      <c r="G52" s="22" t="s">
        <v>62</v>
      </c>
      <c r="H52" s="22" t="s">
        <v>27</v>
      </c>
      <c r="I52" s="22" t="s">
        <v>71</v>
      </c>
      <c r="J52" s="22" t="s">
        <v>50</v>
      </c>
      <c r="K52" s="22" t="s">
        <v>83</v>
      </c>
      <c r="L52" s="22" t="s">
        <v>330</v>
      </c>
    </row>
    <row r="53" spans="1:12" x14ac:dyDescent="0.25">
      <c r="A53" s="3" t="s">
        <v>42</v>
      </c>
      <c r="B53" s="13"/>
      <c r="C53" s="13">
        <v>2.4553574396971424E-4</v>
      </c>
      <c r="D53" s="13"/>
      <c r="E53" s="13"/>
      <c r="F53" s="13"/>
      <c r="G53" s="13"/>
      <c r="H53" s="13">
        <v>1.0017367590039626E-3</v>
      </c>
      <c r="I53" s="13"/>
      <c r="J53" s="13"/>
      <c r="K53" s="13">
        <v>8.4421026460475362E-2</v>
      </c>
      <c r="L53" s="13">
        <v>2.8556099654483018E-2</v>
      </c>
    </row>
    <row r="54" spans="1:12" x14ac:dyDescent="0.25">
      <c r="A54" s="3" t="s">
        <v>20</v>
      </c>
      <c r="B54" s="13"/>
      <c r="C54" s="13">
        <v>0.23063747173132051</v>
      </c>
      <c r="D54" s="20">
        <v>2.4747630125169642</v>
      </c>
      <c r="E54" s="13"/>
      <c r="F54" s="13">
        <v>3.6681917766184817E-3</v>
      </c>
      <c r="G54" s="13"/>
      <c r="H54" s="13"/>
      <c r="I54" s="13"/>
      <c r="J54" s="13"/>
      <c r="K54" s="13"/>
      <c r="L54" s="13">
        <v>1.267586762141129</v>
      </c>
    </row>
    <row r="55" spans="1:12" x14ac:dyDescent="0.25">
      <c r="A55" s="3" t="s">
        <v>58</v>
      </c>
      <c r="B55" s="13">
        <v>1.0790554786964106E-3</v>
      </c>
      <c r="C55" s="13"/>
      <c r="D55" s="13">
        <v>1.7282445507457373E-3</v>
      </c>
      <c r="E55" s="13"/>
      <c r="F55" s="13"/>
      <c r="G55" s="13">
        <v>1.9256132195974649E-6</v>
      </c>
      <c r="H55" s="13"/>
      <c r="I55" s="13"/>
      <c r="J55" s="13"/>
      <c r="K55" s="13"/>
      <c r="L55" s="13">
        <v>9.364085475539152E-4</v>
      </c>
    </row>
    <row r="56" spans="1:12" x14ac:dyDescent="0.25">
      <c r="A56" s="3" t="s">
        <v>29</v>
      </c>
      <c r="B56" s="13">
        <v>1.8307656828839631</v>
      </c>
      <c r="C56" s="13">
        <v>0.72625966511196272</v>
      </c>
      <c r="D56" s="13">
        <v>1.7139869416148426</v>
      </c>
      <c r="E56" s="13"/>
      <c r="F56" s="13">
        <v>0.27654593292278101</v>
      </c>
      <c r="G56" s="13"/>
      <c r="H56" s="13">
        <v>2.1668324641768776E-2</v>
      </c>
      <c r="I56" s="13"/>
      <c r="J56" s="13">
        <v>7.4932468700092916E-2</v>
      </c>
      <c r="K56" s="13"/>
      <c r="L56" s="13">
        <v>0.86512782284806622</v>
      </c>
    </row>
    <row r="57" spans="1:12" x14ac:dyDescent="0.25">
      <c r="A57" s="3" t="s">
        <v>93</v>
      </c>
      <c r="B57" s="20">
        <v>4.5064558389785967</v>
      </c>
      <c r="C57" s="20">
        <v>2.3292633918109673</v>
      </c>
      <c r="D57" s="13">
        <v>0.5676066869792894</v>
      </c>
      <c r="E57" s="13"/>
      <c r="F57" s="13">
        <v>0.48535079361260924</v>
      </c>
      <c r="G57" s="13"/>
      <c r="H57" s="13">
        <v>0.90355816438016401</v>
      </c>
      <c r="I57" s="13"/>
      <c r="J57" s="13"/>
      <c r="K57" s="13">
        <v>3.7747033721869679E-4</v>
      </c>
      <c r="L57" s="13">
        <v>2.6643918963326225</v>
      </c>
    </row>
    <row r="58" spans="1:12" x14ac:dyDescent="0.25">
      <c r="A58" s="3" t="s">
        <v>72</v>
      </c>
      <c r="B58" s="13">
        <v>0.90146334792812999</v>
      </c>
      <c r="C58" s="13">
        <v>0.55652790366429161</v>
      </c>
      <c r="D58" s="13"/>
      <c r="E58" s="13">
        <v>0.65809142322235792</v>
      </c>
      <c r="F58" s="13">
        <v>0.5739926790019404</v>
      </c>
      <c r="G58" s="13">
        <v>0.73845200748461215</v>
      </c>
      <c r="H58" s="13">
        <v>0.50070843915347873</v>
      </c>
      <c r="I58" s="13">
        <v>0.23421434174674338</v>
      </c>
      <c r="J58" s="13">
        <v>0.13362413832293998</v>
      </c>
      <c r="K58" s="13">
        <v>5.0146177593683984E-2</v>
      </c>
      <c r="L58" s="13">
        <v>0.61195066129293896</v>
      </c>
    </row>
    <row r="59" spans="1:12" x14ac:dyDescent="0.25">
      <c r="A59" s="3" t="s">
        <v>330</v>
      </c>
      <c r="B59" s="13">
        <v>2.5676088729690583</v>
      </c>
      <c r="C59" s="13">
        <v>0.73224593383410941</v>
      </c>
      <c r="D59" s="13">
        <v>1.7344830896047134</v>
      </c>
      <c r="E59" s="13">
        <v>0.65809142322235792</v>
      </c>
      <c r="F59" s="13">
        <v>0.3256776065406457</v>
      </c>
      <c r="G59" s="13">
        <v>0.69229887736765006</v>
      </c>
      <c r="H59" s="13">
        <v>0.45241571976302841</v>
      </c>
      <c r="I59" s="13">
        <v>0.23421434174674338</v>
      </c>
      <c r="J59" s="13">
        <v>9.4496358574375286E-2</v>
      </c>
      <c r="K59" s="13">
        <v>4.498155813045935E-2</v>
      </c>
      <c r="L59" s="13">
        <v>1</v>
      </c>
    </row>
    <row r="60" spans="1:12" x14ac:dyDescent="0.25">
      <c r="B60"/>
    </row>
    <row r="61" spans="1:12" x14ac:dyDescent="0.25">
      <c r="B61"/>
    </row>
    <row r="62" spans="1:12" x14ac:dyDescent="0.25">
      <c r="B62"/>
    </row>
    <row r="63" spans="1:12" x14ac:dyDescent="0.25">
      <c r="B63"/>
    </row>
    <row r="65" spans="1:12" x14ac:dyDescent="0.25">
      <c r="A65" s="36" t="s">
        <v>343</v>
      </c>
      <c r="B65" s="35" t="s">
        <v>342</v>
      </c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x14ac:dyDescent="0.25">
      <c r="A66" s="31" t="s">
        <v>8</v>
      </c>
      <c r="B66" s="32" t="s">
        <v>55</v>
      </c>
      <c r="C66" s="33" t="s">
        <v>68</v>
      </c>
      <c r="D66" s="33" t="s">
        <v>154</v>
      </c>
      <c r="E66" s="33" t="s">
        <v>142</v>
      </c>
      <c r="F66" s="33" t="s">
        <v>16</v>
      </c>
      <c r="G66" s="33" t="s">
        <v>62</v>
      </c>
      <c r="H66" s="33" t="s">
        <v>27</v>
      </c>
      <c r="I66" s="33" t="s">
        <v>71</v>
      </c>
      <c r="J66" s="33" t="s">
        <v>50</v>
      </c>
      <c r="K66" s="33" t="s">
        <v>83</v>
      </c>
      <c r="L66" s="33" t="s">
        <v>330</v>
      </c>
    </row>
    <row r="67" spans="1:12" x14ac:dyDescent="0.25">
      <c r="A67" s="27" t="s">
        <v>42</v>
      </c>
      <c r="B67" s="25"/>
      <c r="C67" s="25">
        <v>2.4553574396971424E-4</v>
      </c>
      <c r="D67" s="25"/>
      <c r="E67" s="25"/>
      <c r="F67" s="25"/>
      <c r="G67" s="25"/>
      <c r="H67" s="25">
        <v>1.0017367590039626E-3</v>
      </c>
      <c r="I67" s="25"/>
      <c r="J67" s="25"/>
      <c r="K67" s="25">
        <v>8.4421026460475362E-2</v>
      </c>
      <c r="L67" s="25">
        <v>2.8556099654483018E-2</v>
      </c>
    </row>
    <row r="68" spans="1:12" x14ac:dyDescent="0.25">
      <c r="A68" s="27" t="s">
        <v>20</v>
      </c>
      <c r="B68" s="25"/>
      <c r="C68" s="25">
        <v>0.23063747173132051</v>
      </c>
      <c r="D68" s="25">
        <v>2.4747630125169642</v>
      </c>
      <c r="E68" s="25"/>
      <c r="F68" s="25">
        <v>3.6681917766184817E-3</v>
      </c>
      <c r="G68" s="25"/>
      <c r="H68" s="25"/>
      <c r="I68" s="25"/>
      <c r="J68" s="25"/>
      <c r="K68" s="25"/>
      <c r="L68" s="25">
        <v>1.267586762141129</v>
      </c>
    </row>
    <row r="69" spans="1:12" x14ac:dyDescent="0.25">
      <c r="A69" s="27" t="s">
        <v>58</v>
      </c>
      <c r="B69" s="25">
        <v>1.0790554786964106E-3</v>
      </c>
      <c r="C69" s="25"/>
      <c r="D69" s="25">
        <v>1.7282445507457373E-3</v>
      </c>
      <c r="E69" s="25"/>
      <c r="F69" s="25"/>
      <c r="G69" s="25">
        <v>1.9256132195974649E-6</v>
      </c>
      <c r="H69" s="25"/>
      <c r="I69" s="25"/>
      <c r="J69" s="25"/>
      <c r="K69" s="25"/>
      <c r="L69" s="25">
        <v>9.364085475539152E-4</v>
      </c>
    </row>
    <row r="70" spans="1:12" x14ac:dyDescent="0.25">
      <c r="A70" s="27" t="s">
        <v>29</v>
      </c>
      <c r="B70" s="25">
        <v>1.8307656828839631</v>
      </c>
      <c r="C70" s="25">
        <v>0.72625966511196272</v>
      </c>
      <c r="D70" s="25">
        <v>1.7139869416148426</v>
      </c>
      <c r="E70" s="25"/>
      <c r="F70" s="25">
        <v>0.27654593292278101</v>
      </c>
      <c r="G70" s="25"/>
      <c r="H70" s="25">
        <v>2.1668324641768776E-2</v>
      </c>
      <c r="I70" s="25"/>
      <c r="J70" s="25">
        <v>7.4932468700092916E-2</v>
      </c>
      <c r="K70" s="25"/>
      <c r="L70" s="25">
        <v>0.86512782284806622</v>
      </c>
    </row>
    <row r="71" spans="1:12" x14ac:dyDescent="0.25">
      <c r="A71" s="27" t="s">
        <v>93</v>
      </c>
      <c r="B71" s="25">
        <v>4.5064558389785967</v>
      </c>
      <c r="C71" s="25">
        <v>2.3292633918109673</v>
      </c>
      <c r="D71" s="25">
        <v>0.5676066869792894</v>
      </c>
      <c r="E71" s="25"/>
      <c r="F71" s="25">
        <v>0.48535079361260924</v>
      </c>
      <c r="G71" s="25"/>
      <c r="H71" s="25">
        <v>0.90355816438016401</v>
      </c>
      <c r="I71" s="25"/>
      <c r="J71" s="25"/>
      <c r="K71" s="25">
        <v>3.7747033721869679E-4</v>
      </c>
      <c r="L71" s="25">
        <v>2.6643918963326225</v>
      </c>
    </row>
    <row r="72" spans="1:12" x14ac:dyDescent="0.25">
      <c r="A72" s="29" t="s">
        <v>72</v>
      </c>
      <c r="B72" s="30">
        <v>0.90146334792812999</v>
      </c>
      <c r="C72" s="30">
        <v>0.55652790366429161</v>
      </c>
      <c r="D72" s="30"/>
      <c r="E72" s="30">
        <v>0.65809142322235792</v>
      </c>
      <c r="F72" s="30">
        <v>0.5739926790019404</v>
      </c>
      <c r="G72" s="30">
        <v>0.73845200748461215</v>
      </c>
      <c r="H72" s="30">
        <v>0.50070843915347873</v>
      </c>
      <c r="I72" s="30">
        <v>0.23421434174674338</v>
      </c>
      <c r="J72" s="30">
        <v>0.13362413832293998</v>
      </c>
      <c r="K72" s="30">
        <v>5.0146177593683984E-2</v>
      </c>
      <c r="L72" s="30">
        <v>0.61195066129293896</v>
      </c>
    </row>
    <row r="73" spans="1:12" ht="15.75" thickBot="1" x14ac:dyDescent="0.3">
      <c r="A73" s="28" t="s">
        <v>330</v>
      </c>
      <c r="B73" s="26">
        <v>2.5676088729690583</v>
      </c>
      <c r="C73" s="26">
        <v>0.73224593383410941</v>
      </c>
      <c r="D73" s="26">
        <v>1.7344830896047134</v>
      </c>
      <c r="E73" s="26">
        <v>0.65809142322235792</v>
      </c>
      <c r="F73" s="26">
        <v>0.3256776065406457</v>
      </c>
      <c r="G73" s="26">
        <v>0.69229887736765006</v>
      </c>
      <c r="H73" s="26">
        <v>0.45241571976302841</v>
      </c>
      <c r="I73" s="26">
        <v>0.23421434174674338</v>
      </c>
      <c r="J73" s="26">
        <v>9.4496358574375286E-2</v>
      </c>
      <c r="K73" s="26">
        <v>4.498155813045935E-2</v>
      </c>
      <c r="L73" s="26">
        <v>1</v>
      </c>
    </row>
    <row r="74" spans="1:12" ht="15.75" thickTop="1" x14ac:dyDescent="0.25"/>
  </sheetData>
  <conditionalFormatting pivot="1" sqref="B4:B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3:L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7:L7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5"/>
  <legacy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608EF8-5FD6-4DC9-9006-DA08816598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Genre</vt:lpstr>
      <vt:lpstr>Rating</vt:lpstr>
      <vt:lpstr>Rating-Genre</vt:lpstr>
      <vt:lpstr>Data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Symons</dc:creator>
  <cp:lastModifiedBy>Jeffrey Symons</cp:lastModifiedBy>
  <dcterms:created xsi:type="dcterms:W3CDTF">2026-06-16T12:45:57Z</dcterms:created>
  <dcterms:modified xsi:type="dcterms:W3CDTF">2026-06-17T15:13:57Z</dcterms:modified>
</cp:coreProperties>
</file>